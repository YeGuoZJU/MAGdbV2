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eguo/Desktop/GB文章返修/"/>
    </mc:Choice>
  </mc:AlternateContent>
  <xr:revisionPtr revIDLastSave="0" documentId="13_ncr:1_{9DF1ED4D-1C6C-304F-BCC4-B8F40521832D}" xr6:coauthVersionLast="47" xr6:coauthVersionMax="47" xr10:uidLastSave="{00000000-0000-0000-0000-000000000000}"/>
  <bookViews>
    <workbookView xWindow="0" yWindow="500" windowWidth="33600" windowHeight="19740" xr2:uid="{5A969A62-0968-6E46-B7D7-CEE7134A5B52}"/>
  </bookViews>
  <sheets>
    <sheet name="1_Human_Clinical_Application" sheetId="6" r:id="rId1"/>
    <sheet name="2_Geographic_Environment" sheetId="7" r:id="rId2"/>
    <sheet name="3_Animal" sheetId="11" r:id="rId3"/>
    <sheet name="3_Animal_add" sheetId="1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10" i="13" l="1"/>
  <c r="G10" i="13"/>
  <c r="E10" i="13"/>
  <c r="F17" i="11"/>
  <c r="G17" i="11"/>
  <c r="E17" i="11"/>
  <c r="E32" i="7"/>
  <c r="F31" i="6"/>
  <c r="G31" i="6"/>
  <c r="G32" i="7"/>
  <c r="F32" i="7"/>
  <c r="E34" i="6"/>
</calcChain>
</file>

<file path=xl/sharedStrings.xml><?xml version="1.0" encoding="utf-8"?>
<sst xmlns="http://schemas.openxmlformats.org/spreadsheetml/2006/main" count="356" uniqueCount="248">
  <si>
    <t>Number</t>
    <phoneticPr fontId="1" type="noConversion"/>
  </si>
  <si>
    <t>Title</t>
    <phoneticPr fontId="1" type="noConversion"/>
  </si>
  <si>
    <t>Journal</t>
    <phoneticPr fontId="1" type="noConversion"/>
  </si>
  <si>
    <t>Year</t>
    <phoneticPr fontId="1" type="noConversion"/>
  </si>
  <si>
    <t>Nature biotechnology</t>
    <phoneticPr fontId="1" type="noConversion"/>
  </si>
  <si>
    <t>Nature microbiology</t>
    <phoneticPr fontId="1" type="noConversion"/>
  </si>
  <si>
    <t>Nature communication</t>
    <phoneticPr fontId="1" type="noConversion"/>
  </si>
  <si>
    <t>Nature Microbiology</t>
    <phoneticPr fontId="1" type="noConversion"/>
  </si>
  <si>
    <t>Microbiome</t>
    <phoneticPr fontId="1" type="noConversion"/>
  </si>
  <si>
    <t>Nature</t>
    <phoneticPr fontId="1" type="noConversion"/>
  </si>
  <si>
    <t>Whole metagenome profiling reveals skin microbiome-dependent susceptibility to atopic dermatitis flare</t>
    <phoneticPr fontId="1" type="noConversion"/>
  </si>
  <si>
    <t>Metagenomic analysis of colorectal cancer datasets identifies cross-cohort microbial diagnostic signatures and a link with choline degradation</t>
    <phoneticPr fontId="1" type="noConversion"/>
  </si>
  <si>
    <t>The infant gut resistome associates with E. coli, environmental exposures, gut microbiome maturity, and asthma-associated bacterial composition</t>
    <phoneticPr fontId="1" type="noConversion"/>
  </si>
  <si>
    <t>Mobile antibiotic resistome in wastewater treatment plants revealed by Nanopore metagenomic sequencing</t>
    <phoneticPr fontId="1" type="noConversion"/>
  </si>
  <si>
    <t>Significance of gene variants for the functional biogeography of the near-surface Atlantic Ocean microbiome</t>
    <phoneticPr fontId="1" type="noConversion"/>
  </si>
  <si>
    <t>Dynamics of the normal gut microbiota: A longitudinal one-year population study in Sweden</t>
    <phoneticPr fontId="1" type="noConversion"/>
  </si>
  <si>
    <t xml:space="preserve">Cell Host &amp; Microbe </t>
    <phoneticPr fontId="1" type="noConversion"/>
  </si>
  <si>
    <t>Recovery of gut microbiota of healthy adults following antibiotic exposure</t>
    <phoneticPr fontId="1" type="noConversion"/>
  </si>
  <si>
    <t>Characterization of the public transit air microbiome and resistome reveals geographical specificity</t>
    <phoneticPr fontId="1" type="noConversion"/>
  </si>
  <si>
    <t>Connecting structure to function with the recovery of over 1000 high-quality metagenome-assembled genomes from activated sludge using long-read sequencing</t>
    <phoneticPr fontId="1" type="noConversion"/>
  </si>
  <si>
    <t>A high-quality genome compendium of the
human gut microbiome of Inner Mongolians</t>
    <phoneticPr fontId="1" type="noConversion"/>
  </si>
  <si>
    <t>Gut microbes exacerbate systemic inflammation and behavior disorders in neurologic disease CADASIL</t>
    <phoneticPr fontId="1" type="noConversion"/>
  </si>
  <si>
    <t>DOI</t>
    <phoneticPr fontId="1" type="noConversion"/>
  </si>
  <si>
    <t>https://doi.org/10.1038/s41564-022-01270-1</t>
    <phoneticPr fontId="1" type="noConversion"/>
  </si>
  <si>
    <t>https://doi.org/10.1186/s40168-023-01638-3</t>
    <phoneticPr fontId="1" type="noConversion"/>
  </si>
  <si>
    <t>https://doi.org/10.1186/s40168-023-01597-9</t>
    <phoneticPr fontId="1" type="noConversion"/>
  </si>
  <si>
    <t>Unique microbial landscape in the human oropharynx during different types of acute respiratory tract infections</t>
    <phoneticPr fontId="1" type="noConversion"/>
  </si>
  <si>
    <t xml:space="preserve">Nature communications </t>
    <phoneticPr fontId="1" type="noConversion"/>
  </si>
  <si>
    <t>https://doi.org/10.1038/s41467-022-32805-z</t>
    <phoneticPr fontId="1" type="noConversion"/>
  </si>
  <si>
    <t>A compendium of 32,277 metagenome-assembled genomes and over 80 million genes from the early-life human gut microbiome</t>
    <phoneticPr fontId="1" type="noConversion"/>
  </si>
  <si>
    <t>Dissecting the role of the human microbiome in COVID-19 via metagenome-assembled genomes</t>
    <phoneticPr fontId="1" type="noConversion"/>
  </si>
  <si>
    <t>https://doi.org/10.1038/s41467-022-32991-w</t>
    <phoneticPr fontId="1" type="noConversion"/>
  </si>
  <si>
    <t>Reconstruction of ancient microbial genomes from the human gut</t>
    <phoneticPr fontId="1" type="noConversion"/>
  </si>
  <si>
    <t>https://doi.org/10.1038/s41586-021-03532-0</t>
    <phoneticPr fontId="1" type="noConversion"/>
  </si>
  <si>
    <t>Dysbiosis of human gut microbiome in young-onset colorectal cancer</t>
    <phoneticPr fontId="1" type="noConversion"/>
  </si>
  <si>
    <t>https://doi.org/10.1038/s41467-021-27112-y</t>
    <phoneticPr fontId="1" type="noConversion"/>
  </si>
  <si>
    <t>https://doi.org/10.1038/s41564-018-0257-9</t>
    <phoneticPr fontId="1" type="noConversion"/>
  </si>
  <si>
    <t>Fecal microbiota transplantation plus anti-PD-1 immunotherapy in advanced melanoma: a phase I trial</t>
    <phoneticPr fontId="1" type="noConversion"/>
  </si>
  <si>
    <t>Nature medicine</t>
    <phoneticPr fontId="1" type="noConversion"/>
  </si>
  <si>
    <t>https://doi.org/10.1038/s41591-023-02453-x</t>
    <phoneticPr fontId="1" type="noConversion"/>
  </si>
  <si>
    <t>Dynamics and Stabilization of the Human Gut Microbiome during the First Year of Life</t>
    <phoneticPr fontId="1" type="noConversion"/>
  </si>
  <si>
    <t>https://doi.org/10.1016/j.chom.2015.04.004</t>
    <phoneticPr fontId="1" type="noConversion"/>
  </si>
  <si>
    <t>https://doi.org/10.1038/nmicrobiol.2016.106</t>
    <phoneticPr fontId="1" type="noConversion"/>
  </si>
  <si>
    <t>https://doi.org/10.1038/s41591-019-0405-7</t>
    <phoneticPr fontId="1" type="noConversion"/>
  </si>
  <si>
    <t>https://doi.org/10.1016/j.chom.2021.03.017</t>
    <phoneticPr fontId="1" type="noConversion"/>
  </si>
  <si>
    <t>https://doi.org/10.1016/j.chom.2022.03.002</t>
    <phoneticPr fontId="1" type="noConversion"/>
  </si>
  <si>
    <t>Genetic strategies for sex-biased persistence of gut microbes across human life</t>
    <phoneticPr fontId="1" type="noConversion"/>
  </si>
  <si>
    <t>https://doi.org/10.1038/s41467-023-39931-2</t>
    <phoneticPr fontId="1" type="noConversion"/>
  </si>
  <si>
    <t>A genome and gene catalog of glacier microbiomes</t>
    <phoneticPr fontId="1" type="noConversion"/>
  </si>
  <si>
    <t>https://doi.org/10.1038/s41587-022-01367-2</t>
    <phoneticPr fontId="1" type="noConversion"/>
  </si>
  <si>
    <t>Supercarriers of antibiotic resistome in a world's large river</t>
    <phoneticPr fontId="1" type="noConversion"/>
  </si>
  <si>
    <t>https://doi.org/10.1186/s40168-022-01294-z</t>
    <phoneticPr fontId="1" type="noConversion"/>
  </si>
  <si>
    <t>https://doi.org/10.1186/s40168-021-01044-7</t>
    <phoneticPr fontId="1" type="noConversion"/>
  </si>
  <si>
    <t>Global monitoring of antimicrobial resistance based on metagenomics analyses of urban sewage</t>
    <phoneticPr fontId="1" type="noConversion"/>
  </si>
  <si>
    <t>https://doi.org/10.1038/s41467-019-08853-3</t>
    <phoneticPr fontId="1" type="noConversion"/>
  </si>
  <si>
    <t>https://doi.org/10.1038/s41467-022-28128-8</t>
    <phoneticPr fontId="1" type="noConversion"/>
  </si>
  <si>
    <t>Metagenomic analysis reveals the shared and distinct features of the soil resistome across tundra, temperate prairie, and tropical ecosystems</t>
    <phoneticPr fontId="1" type="noConversion"/>
  </si>
  <si>
    <t>https://doi.org/10.1186/s40168-021-01047-4</t>
    <phoneticPr fontId="1" type="noConversion"/>
  </si>
  <si>
    <t>Bacterial fermentation and respiration processes are uncoupled in anoxic permeable sediments</t>
    <phoneticPr fontId="1" type="noConversion"/>
  </si>
  <si>
    <t>https://doi.org/10.1038/s41564-019-0391-z</t>
    <phoneticPr fontId="1" type="noConversion"/>
  </si>
  <si>
    <t>Environmental drivers of a microbial genomic transition zone in the ocean's interior</t>
    <phoneticPr fontId="1" type="noConversion"/>
  </si>
  <si>
    <t>https://doi.org/10.1038/s41564-017-0008-3</t>
    <phoneticPr fontId="1" type="noConversion"/>
  </si>
  <si>
    <t>https://doi.org/10.1038/s41467-021-22203-2</t>
    <phoneticPr fontId="1" type="noConversion"/>
  </si>
  <si>
    <t>https://doi.org/10.1186/s40168-019-0663-0</t>
    <phoneticPr fontId="1" type="noConversion"/>
  </si>
  <si>
    <t>Hydrogen and dark oxygen drive microbial productivity in diverse groundwater ecosystems</t>
    <phoneticPr fontId="1" type="noConversion"/>
  </si>
  <si>
    <t>https://doi.org/10.1038/s41467-023-38523-4</t>
    <phoneticPr fontId="1" type="noConversion"/>
  </si>
  <si>
    <t>Marine ecosystem shifts with deglacial sea-ice loss inferred from ancient DNA shotgun sequencing</t>
    <phoneticPr fontId="1" type="noConversion"/>
  </si>
  <si>
    <t>https://doi.org/10.1038/s41467-023-36845-x</t>
    <phoneticPr fontId="1" type="noConversion"/>
  </si>
  <si>
    <t>Characteristics of methane emissions from alpine thermokarst lakes on the Tibetan Plateau</t>
    <phoneticPr fontId="1" type="noConversion"/>
  </si>
  <si>
    <t>https://doi.org/10.1038/s41467-023-38907-6</t>
    <phoneticPr fontId="1" type="noConversion"/>
  </si>
  <si>
    <t>Bacteria are important dimethylsulfoniopropionate producers in coastal sediments</t>
    <phoneticPr fontId="1" type="noConversion"/>
  </si>
  <si>
    <t>https://doi.org/10.1038/s41564-019-0527-1</t>
    <phoneticPr fontId="1" type="noConversion"/>
  </si>
  <si>
    <t>Bacteria are important dimethylsulfoniopropionate producers in marine aphotic and high-pressure environments</t>
    <phoneticPr fontId="1" type="noConversion"/>
  </si>
  <si>
    <t>https://doi.org/10.1038/s41467-020-18434-4</t>
    <phoneticPr fontId="1" type="noConversion"/>
  </si>
  <si>
    <t>Metabolically diverse microorganisms mediate methylmercury formation under nitrate-reducing conditions in a dynamic hydroelectric reservoir</t>
    <phoneticPr fontId="1" type="noConversion"/>
  </si>
  <si>
    <t>https://doi.org/10.1038/s41396-023-01482-1</t>
    <phoneticPr fontId="1" type="noConversion"/>
  </si>
  <si>
    <t>The isme journal</t>
    <phoneticPr fontId="1" type="noConversion"/>
  </si>
  <si>
    <t>Differential effects of wastewater treatment plant effluents on the antibiotic resistomes of diverse river habitats</t>
    <phoneticPr fontId="1" type="noConversion"/>
  </si>
  <si>
    <t>https://doi.org/10.1038/s41396-023-01506-w</t>
    <phoneticPr fontId="1" type="noConversion"/>
  </si>
  <si>
    <t>Conversion of steppe to cropland increases spatial heterogeneity of soil functional genes</t>
    <phoneticPr fontId="1" type="noConversion"/>
  </si>
  <si>
    <t>https://doi.org/10.1038/s41396-023-01496-9</t>
    <phoneticPr fontId="1" type="noConversion"/>
  </si>
  <si>
    <t>Degradation of biological macromolecules supports uncultured microbial populations in Guaymas Basin hydrothermal sediments</t>
    <phoneticPr fontId="1" type="noConversion"/>
  </si>
  <si>
    <t>https://doi.org/10.1038/s41396-021-01026-5</t>
    <phoneticPr fontId="1" type="noConversion"/>
  </si>
  <si>
    <t>Antimony efflux underpins phosphorus cycling and resistance of phosphate-solubilizing bacteria in mining soils</t>
    <phoneticPr fontId="1" type="noConversion"/>
  </si>
  <si>
    <t>https://doi.org/10.1038/s41396-023-01445-6</t>
    <phoneticPr fontId="1" type="noConversion"/>
  </si>
  <si>
    <t>Deep-sea mussels from a hybrid zone on the Mid-Atlantic Ridge host genetically indistinguishable symbionts</t>
    <phoneticPr fontId="1" type="noConversion"/>
  </si>
  <si>
    <t>https://doi.org/10.1038/s41396-021-00927-9</t>
    <phoneticPr fontId="1" type="noConversion"/>
  </si>
  <si>
    <t>Metabolic flexibility allows bacterial habitat generalists to become dominant in a frequently disturbed ecosystem</t>
    <phoneticPr fontId="1" type="noConversion"/>
  </si>
  <si>
    <t>https://doi.org/10.1038/s41396-021-00988-w</t>
    <phoneticPr fontId="1" type="noConversion"/>
  </si>
  <si>
    <t xml:space="preserve">Chemosynthetic and photosynthetic bacteria contribute differentially to primary production across a steep desert aridity gradient </t>
    <phoneticPr fontId="1" type="noConversion"/>
  </si>
  <si>
    <t>https://doi.org/10.1038/s41396-021-01001-0</t>
    <phoneticPr fontId="1" type="noConversion"/>
  </si>
  <si>
    <t>Coexistence of specialist and generalist Microbiome species within mixed plastic derivative-utilizing microbial communities</t>
    <phoneticPr fontId="1" type="noConversion"/>
  </si>
  <si>
    <t>https://doi.org/10.1186/s40168-023-01645-4</t>
    <phoneticPr fontId="1" type="noConversion"/>
  </si>
  <si>
    <t>https://doi.org/10.1038/s41396-023-01544-4</t>
    <phoneticPr fontId="1" type="noConversion"/>
  </si>
  <si>
    <t>Phylogenetic and ecophysiological novelty of subsurface mercury methylators in mangrove sediments</t>
    <phoneticPr fontId="1" type="noConversion"/>
  </si>
  <si>
    <t>Distinct composition and metabolic functions of human gut microbiota are associated with cachexia in lung cancer patients</t>
    <phoneticPr fontId="1" type="noConversion"/>
  </si>
  <si>
    <t>https://doi.org/10.1038/s41396-021-00998-8</t>
    <phoneticPr fontId="1" type="noConversion"/>
  </si>
  <si>
    <t>Drinking water chlorination has minor effects on the intestinal flora and resistomes of Bangladeshi children</t>
    <phoneticPr fontId="1" type="noConversion"/>
  </si>
  <si>
    <t>Mechanistic insights into consumption of the food additive xanthan gum by the human gut microbiota</t>
    <phoneticPr fontId="1" type="noConversion"/>
  </si>
  <si>
    <t>https://doi.org/10.1038/s41564-022-01101-3</t>
    <phoneticPr fontId="1" type="noConversion"/>
  </si>
  <si>
    <t>https://doi.org/10.1038/s41564-022-01093-0</t>
    <phoneticPr fontId="1" type="noConversion"/>
  </si>
  <si>
    <t>A quasi-paired cohort strategy reveals the impaired detoxifying function of microbes in the gut of autistic children</t>
    <phoneticPr fontId="1" type="noConversion"/>
  </si>
  <si>
    <t>https://doi.org/10.1126/sciadv.aba3760</t>
    <phoneticPr fontId="1" type="noConversion"/>
  </si>
  <si>
    <t>Candida expansion in the gut of lung cancer patients associates with an ecological signature that supports growth under dysbiotic conditions</t>
    <phoneticPr fontId="1" type="noConversion"/>
  </si>
  <si>
    <t>https://doi.org/10.1038/s41467-023-38058-8</t>
    <phoneticPr fontId="1" type="noConversion"/>
  </si>
  <si>
    <t>The ISME Journal</t>
    <phoneticPr fontId="1" type="noConversion"/>
  </si>
  <si>
    <t>Bile salt hydrolase in non-enterotoxigenic Bacteroides potentiates colorectal cancer</t>
    <phoneticPr fontId="1" type="noConversion"/>
  </si>
  <si>
    <t>https://doi.org/10.1038/s41467-023-36089-9</t>
    <phoneticPr fontId="1" type="noConversion"/>
  </si>
  <si>
    <t>Gut microbiome composition may be an indicator of preclinical Alzheimer’s disease</t>
    <phoneticPr fontId="1" type="noConversion"/>
  </si>
  <si>
    <t>https://doi.org/10.1126/scitranslmed.abo2984</t>
    <phoneticPr fontId="1" type="noConversion"/>
  </si>
  <si>
    <t>Intestinal butyrate-metabolizing species contribute to autoantibody production and bone erosion in rheumatoid arthritis</t>
    <phoneticPr fontId="1" type="noConversion"/>
  </si>
  <si>
    <t>https://doi.org/10.1126/sciadv.abm1511</t>
    <phoneticPr fontId="1" type="noConversion"/>
  </si>
  <si>
    <t>Augmented temperature fluctuation aggravates muscular atrophy through the gut microbiota</t>
    <phoneticPr fontId="1" type="noConversion"/>
  </si>
  <si>
    <t>Experimental evaluation of ecological principles to understand and modulate the outcome of bacterial strain competition in gut microbiomes</t>
    <phoneticPr fontId="1" type="noConversion"/>
  </si>
  <si>
    <t>https://doi.org/10.1038/s41467-023-39171-4</t>
    <phoneticPr fontId="1" type="noConversion"/>
  </si>
  <si>
    <t>https://doi.org/10.1038/s41396-022-01208-9</t>
    <phoneticPr fontId="1" type="noConversion"/>
  </si>
  <si>
    <t>Repressed Blautia-acetate immunological axis underlies breast cancer progression promoted by chronic stress</t>
    <phoneticPr fontId="1" type="noConversion"/>
  </si>
  <si>
    <t>https://doi.org/10.1038/s41467-023-41817-2</t>
    <phoneticPr fontId="1" type="noConversion"/>
  </si>
  <si>
    <t>Fiber supplementation protects from antibiotic-induced gut microbiome dysbiosis by modulating gut redox potential</t>
    <phoneticPr fontId="1" type="noConversion"/>
  </si>
  <si>
    <t>https://doi.org/10.1038/s41467-023-40553-x</t>
    <phoneticPr fontId="1" type="noConversion"/>
  </si>
  <si>
    <t>Parabacteroides distasonis uses dietary inulin to suppress NASH via its metabolite pentadecanoic acid</t>
    <phoneticPr fontId="1" type="noConversion"/>
  </si>
  <si>
    <t>https://doi.org/10.1038/s41564-023-01418-7</t>
    <phoneticPr fontId="1" type="noConversion"/>
  </si>
  <si>
    <t>Hydrodynamic regimes modulate nitrogen fixation and the mode of diazotrophy in Lake Tanganyika</t>
    <phoneticPr fontId="1" type="noConversion"/>
  </si>
  <si>
    <t>Short- and long-read metagenomics of urban and rural South African gut microbiomes reveal a transitional composition and undescribed taxa</t>
    <phoneticPr fontId="1" type="noConversion"/>
  </si>
  <si>
    <t>https://doi.org/10.1038/s41467-021-27917-x</t>
    <phoneticPr fontId="1" type="noConversion"/>
  </si>
  <si>
    <t>Science Advances</t>
    <phoneticPr fontId="1" type="noConversion"/>
  </si>
  <si>
    <t>Pet cats may shape the antibiotic resistome of their owner’s gut and living environment</t>
    <phoneticPr fontId="1" type="noConversion"/>
  </si>
  <si>
    <t>Science Translational Medicine</t>
  </si>
  <si>
    <t>https://doi.org/10.1186/s40168-023-01679-8</t>
    <phoneticPr fontId="1" type="noConversion"/>
  </si>
  <si>
    <t>Persistent metagenomic signatures of early-life hospitalization and antibiotic treatment in the infant gut microbiota and resistome</t>
    <phoneticPr fontId="1" type="noConversion"/>
  </si>
  <si>
    <t>https://doi.org/10.1038/s41564-019-0550-2</t>
    <phoneticPr fontId="1" type="noConversion"/>
  </si>
  <si>
    <t>Immunomodulatory fecal metabolites are associated with mortality in COVID-19 patients with respiratory failure</t>
    <phoneticPr fontId="1" type="noConversion"/>
  </si>
  <si>
    <t>https://doi.org/10.1038/s41467-022-34260-2</t>
    <phoneticPr fontId="1" type="noConversion"/>
  </si>
  <si>
    <t xml:space="preserve"> metagenome runs accession</t>
    <phoneticPr fontId="1" type="noConversion"/>
  </si>
  <si>
    <t>Genome-centric analysis of short and long read metagenomes reveals uncharacterized microbiome diversity in Southeast Asians</t>
    <phoneticPr fontId="1" type="noConversion"/>
  </si>
  <si>
    <t>https://doi.org/10.1038/s41467-022-33782-z</t>
  </si>
  <si>
    <t>Permafrost microbial communities and functional genes are structured by latitudinal and soil geochemical gradients</t>
    <phoneticPr fontId="1" type="noConversion"/>
  </si>
  <si>
    <t>https://doi.org/10.1038/s41396-023-01429-6</t>
    <phoneticPr fontId="1" type="noConversion"/>
  </si>
  <si>
    <t>https://doi.org/10.1038/s41467-023-42391-3</t>
    <phoneticPr fontId="1" type="noConversion"/>
  </si>
  <si>
    <t>A pollution gradient contributes to the taxonomic, functional, and resistome diversity of microbial communities in marine sediments</t>
    <phoneticPr fontId="1" type="noConversion"/>
  </si>
  <si>
    <t>Metagenomic profiles of archaea and bacteria within thermal and geochemical gradients of the Guaymas Basin deep subsurface</t>
    <phoneticPr fontId="1" type="noConversion"/>
  </si>
  <si>
    <t>https://doi.org/10.1038/s41467-023-43296-x</t>
  </si>
  <si>
    <t>metagenome run accession</t>
    <phoneticPr fontId="1" type="noConversion"/>
  </si>
  <si>
    <t>Targeting gut microbiota–derived kynurenine to predict and protect the remodeling of the pressure-overloaded young heart</t>
    <phoneticPr fontId="1" type="noConversion"/>
  </si>
  <si>
    <t>Science advances</t>
    <phoneticPr fontId="1" type="noConversion"/>
  </si>
  <si>
    <t>https://doi:10.1126/sciadv.adg7417</t>
    <phoneticPr fontId="1" type="noConversion"/>
  </si>
  <si>
    <t>Theabrownin from Pu-erh tea attenuates hypercholesterolemia via modulation of gut microbiota and bile acid metabolism</t>
    <phoneticPr fontId="1" type="noConversion"/>
  </si>
  <si>
    <t>Gut microbiome-derived ammonia modulates stress vulnerability in the host</t>
    <phoneticPr fontId="1" type="noConversion"/>
  </si>
  <si>
    <t>Gut microbiota-bile acid crosstalk contributes to the rebound weight gain after calorie restriction in mice</t>
    <phoneticPr fontId="1" type="noConversion"/>
  </si>
  <si>
    <t>https://doi.org/10.1038/s41467-019-12896-x</t>
    <phoneticPr fontId="1" type="noConversion"/>
  </si>
  <si>
    <t>Nature Metabolism</t>
  </si>
  <si>
    <t>https://doi.org/10.1038/s42255-023-00909-5</t>
    <phoneticPr fontId="1" type="noConversion"/>
  </si>
  <si>
    <t>https://doi.org/10.1038/s41467-022-29589-7</t>
    <phoneticPr fontId="1" type="noConversion"/>
  </si>
  <si>
    <t>https://doi.org/10.1186/s40168-023-01662-3</t>
    <phoneticPr fontId="1" type="noConversion"/>
  </si>
  <si>
    <t>Faecal microbiota transplantation for the treatment of diarrhoea induced by tyrosine-kinase inhibitors in patients with metastatic renal cell carcinoma</t>
    <phoneticPr fontId="1" type="noConversion"/>
  </si>
  <si>
    <t>https://doi.org/10.1038/s41467-020-18127-y</t>
  </si>
  <si>
    <t>https://doi.org/10.1186/s40168-019-0714-6</t>
    <phoneticPr fontId="1" type="noConversion"/>
  </si>
  <si>
    <t xml:space="preserve"> high quality MAGs</t>
    <phoneticPr fontId="1" type="noConversion"/>
  </si>
  <si>
    <t>Short introduction</t>
    <phoneticPr fontId="1" type="noConversion"/>
  </si>
  <si>
    <t>To Explore the changes in fecal metagenome in CADASIL patients</t>
    <phoneticPr fontId="1" type="noConversion"/>
  </si>
  <si>
    <t>Upper respiratory tract virus infection alters the host microbial feature</t>
    <phoneticPr fontId="1" type="noConversion"/>
  </si>
  <si>
    <t>The early-life human gut microbiome (ELGG) catalog</t>
    <phoneticPr fontId="1" type="noConversion"/>
  </si>
  <si>
    <t>Effects of drinking water chlorination on childrens intestinal flora and resistomes in Dhaka, Bangladesh: a cluster-randomized controlled trial</t>
  </si>
  <si>
    <t>Human  fecal bacterial communities able to grow on Xanthan gum</t>
    <phoneticPr fontId="1" type="noConversion"/>
  </si>
  <si>
    <t>Intestinal Microbiome in Children with Autism Spectrum Disorder</t>
    <phoneticPr fontId="1" type="noConversion"/>
  </si>
  <si>
    <t>Alterations of the Microbiome During Critical Illness with short and long term clinical outcomes</t>
    <phoneticPr fontId="1" type="noConversion"/>
  </si>
  <si>
    <t>Shotgun metagenomic sequencing of stool samples from two South African cohorts</t>
    <phoneticPr fontId="1" type="noConversion"/>
  </si>
  <si>
    <t xml:space="preserve"> Metagenome runs accession</t>
    <phoneticPr fontId="1" type="noConversion"/>
  </si>
  <si>
    <t>Large-scale de novo assembly of  the composition of pre-industrial gut microbiomes from paleofeces</t>
    <phoneticPr fontId="1" type="noConversion"/>
  </si>
  <si>
    <t>Tibetan Glacier Genome and Gene catalogue Raw sequence reads</t>
    <phoneticPr fontId="1" type="noConversion"/>
  </si>
  <si>
    <t>Metagenomic raw reads for water and sediment samples of the Yangtze River, China</t>
    <phoneticPr fontId="1" type="noConversion"/>
  </si>
  <si>
    <t>Shotgun metagenomic sequencing of subway and urban air samples</t>
    <phoneticPr fontId="1" type="noConversion"/>
  </si>
  <si>
    <t>Bacterial dimethylsulfoniopropionate production in marine sediments</t>
    <phoneticPr fontId="1" type="noConversion"/>
  </si>
  <si>
    <t>Metagenome or environmental sample from marine metagenome</t>
    <phoneticPr fontId="1" type="noConversion"/>
  </si>
  <si>
    <t>Mercury-methylating microbial communities under diverse redox conditions in stratified freshwater reservoir</t>
    <phoneticPr fontId="1" type="noConversion"/>
  </si>
  <si>
    <t>Global surveillance of infectious diseases and antimicrobial resistance from sewage</t>
    <phoneticPr fontId="1" type="noConversion"/>
  </si>
  <si>
    <t>Swiss Wastewater &amp; River Ecosystem Microbiome</t>
    <phoneticPr fontId="1" type="noConversion"/>
  </si>
  <si>
    <t>Atlantic Ocean Metagenomes</t>
    <phoneticPr fontId="1" type="noConversion"/>
  </si>
  <si>
    <t>To decipher the effects of anthropogenic disturbance of tillage on soil microbial ecological function</t>
    <phoneticPr fontId="1" type="noConversion"/>
  </si>
  <si>
    <t>Fermentative and respiratory processes in anoxic permeable sediments</t>
    <phoneticPr fontId="1" type="noConversion"/>
  </si>
  <si>
    <t>HOT ALOHA metagenomic time and depth series</t>
    <phoneticPr fontId="1" type="noConversion"/>
  </si>
  <si>
    <t>Guaymas Basin sediments thermophilic enrichment cultures shotgun DNA assembly</t>
    <phoneticPr fontId="1" type="noConversion"/>
  </si>
  <si>
    <t>Metagenomics of symbiotic Bathymodiolus mussels from a hybrid zone</t>
    <phoneticPr fontId="1" type="noConversion"/>
  </si>
  <si>
    <t>Middle Park Beach, Port Phillip Bay Permeable Sediment Metagenomes and 16S rRNA amplicon sequences</t>
    <phoneticPr fontId="1" type="noConversion"/>
  </si>
  <si>
    <t>Reciprocal activities of chemosynthetic and photosynthetic bacteria across a steep desert aridity gradient</t>
    <phoneticPr fontId="1" type="noConversion"/>
  </si>
  <si>
    <t>Activated sludge metagenome Genome sequencing and assembly</t>
  </si>
  <si>
    <t>Biogeochemistry study on Lake Tanganyika in Tanzania</t>
    <phoneticPr fontId="1" type="noConversion"/>
  </si>
  <si>
    <t>wastewater metagenome Genome sequencing</t>
    <phoneticPr fontId="1" type="noConversion"/>
  </si>
  <si>
    <t>Hong Kong Marine Sediment Microbiota sequence</t>
    <phoneticPr fontId="1" type="noConversion"/>
  </si>
  <si>
    <t>Shotgun metagenome of microbial community in mangrove sediments in a depth range of 100 cm</t>
    <phoneticPr fontId="1" type="noConversion"/>
  </si>
  <si>
    <t>Metagenomic sequencing of a microbial community grown on pyrolyzed high density polyethylene</t>
    <phoneticPr fontId="1" type="noConversion"/>
  </si>
  <si>
    <t>Alberta groundwater Metagenome</t>
    <phoneticPr fontId="1" type="noConversion"/>
  </si>
  <si>
    <t>Sedimentary ancient DNA shotgun metagenomics of marine sediment core SO201-2-12KL from teh North Pacific</t>
    <phoneticPr fontId="1" type="noConversion"/>
  </si>
  <si>
    <t>sediment metagenome Raw sequence reads</t>
    <phoneticPr fontId="1" type="noConversion"/>
  </si>
  <si>
    <t>Sowe river plastisphere AMR and degradation</t>
    <phoneticPr fontId="1" type="noConversion"/>
  </si>
  <si>
    <t>IODP expedition 385 Guaymas Basin Tectonics and Biosphere Metagenomic  sequence data</t>
    <phoneticPr fontId="1" type="noConversion"/>
  </si>
  <si>
    <t xml:space="preserve">Metagenome sequencing of soil samples from 30 sites to cover different levels of Sb contamination </t>
    <phoneticPr fontId="1" type="noConversion"/>
  </si>
  <si>
    <t>Shotgun metagenome sequencing of topsoil samples to robustly compare the taxonomic and functional gene content variability of microbial soil communities between two key soil ecosystems for climate change, a remote Alaskan tundra (melting) permafrost (AK) and a natural prairie temperate soil in Oklahoma (OK).</t>
    <phoneticPr fontId="1" type="noConversion"/>
  </si>
  <si>
    <t>Fluctuated temperature feces metagenome sequence data</t>
    <phoneticPr fontId="1" type="noConversion"/>
  </si>
  <si>
    <t>Murine gut microbial metagenomes for understanding bacterial strain engraftment</t>
    <phoneticPr fontId="1" type="noConversion"/>
  </si>
  <si>
    <t>A stress-responsive brain-gut metabolic axis instructs intestinal cell lineage commitment</t>
    <phoneticPr fontId="1" type="noConversion"/>
  </si>
  <si>
    <t>Gut microbiota from Mus musculus breed:C57BL/6 Metagenome</t>
    <phoneticPr fontId="1" type="noConversion"/>
  </si>
  <si>
    <t>Unassembled metagenomic and metatranscriptomic data from shot-gun seqeuncing of mouse cecal samples</t>
    <phoneticPr fontId="1" type="noConversion"/>
  </si>
  <si>
    <t>The role of fiber in non-alcoholic steatohepatitis through modulating of gut microbiota</t>
    <phoneticPr fontId="1" type="noConversion"/>
  </si>
  <si>
    <t>Pu-erh tea's theabrownin alters gut microbiota</t>
    <phoneticPr fontId="1" type="noConversion"/>
  </si>
  <si>
    <t>Metagenomics sequencing data of fecal samples from control or chronic stress-exposed mice</t>
    <phoneticPr fontId="1" type="noConversion"/>
  </si>
  <si>
    <t>Calorie restriction alters the gut microbiome</t>
    <phoneticPr fontId="1" type="noConversion"/>
  </si>
  <si>
    <t>Sequencing data for gut metagenomes of 109 Singaporean subjects from the SPMP study</t>
    <phoneticPr fontId="1" type="noConversion"/>
  </si>
  <si>
    <t>Metagenomic samples of  human feces Metagenome</t>
    <phoneticPr fontId="1" type="noConversion"/>
  </si>
  <si>
    <t>Human infant gut metagenome, infant shotgun sequencing</t>
    <phoneticPr fontId="1" type="noConversion"/>
  </si>
  <si>
    <t>Gender-specific cross-generational microbial persistence of human gut microbes</t>
    <phoneticPr fontId="1" type="noConversion"/>
  </si>
  <si>
    <t>FMT for diarrhoea induced by tyrosine-kinase inhibitors in patients with metastatic renal cell carcinoma</t>
    <phoneticPr fontId="1" type="noConversion"/>
  </si>
  <si>
    <t>Whole-metagenome shotgun sequencing of two Italian fecal CRC cohorts</t>
  </si>
  <si>
    <t>Longitudinal profiling of non-disease individuals. Microbiota data.</t>
    <phoneticPr fontId="1" type="noConversion"/>
  </si>
  <si>
    <t>human gut microbiota Raw sequence reads with and without cancer cachexia</t>
    <phoneticPr fontId="1" type="noConversion"/>
  </si>
  <si>
    <t>COPSAC corhot study of infant gut microbiome</t>
    <phoneticPr fontId="1" type="noConversion"/>
  </si>
  <si>
    <t>The gut flora of rheumatoid arthritis patients</t>
  </si>
  <si>
    <t>Human Skin Microbiome Metagenome</t>
  </si>
  <si>
    <t>The gut microbiome in preclinical Alzheimer Disease</t>
    <phoneticPr fontId="1" type="noConversion"/>
  </si>
  <si>
    <t>Gut resistome modulates resilience and recovery of gut microbiota after broad-spectrum antibiotic treatment</t>
    <phoneticPr fontId="1" type="noConversion"/>
  </si>
  <si>
    <t>Gut microbiota composition of patients in MIMic cohort</t>
    <phoneticPr fontId="1" type="noConversion"/>
  </si>
  <si>
    <t>Clinical fecal metagenome of CRC with/without overweight</t>
    <phoneticPr fontId="1" type="noConversion"/>
  </si>
  <si>
    <t>The association between gut microbiome dysbiosis and CRC risks in young or elderly groups</t>
    <phoneticPr fontId="1" type="noConversion"/>
  </si>
  <si>
    <t>The gut microbiomes of 98 Swedish mothers and their infants during the first year of life</t>
    <phoneticPr fontId="1" type="noConversion"/>
  </si>
  <si>
    <t>The microbial genomic dark matter in the Inner Mongolia gut</t>
    <phoneticPr fontId="1" type="noConversion"/>
  </si>
  <si>
    <t>Whole metagenomics from stool of human lung cancer patients from hungary</t>
    <phoneticPr fontId="1" type="noConversion"/>
  </si>
  <si>
    <t>The human microbiome role in COVID-19 infection and disease progression</t>
    <phoneticPr fontId="1" type="noConversion"/>
  </si>
  <si>
    <t>MAG(medium and high)</t>
    <phoneticPr fontId="1" type="noConversion"/>
  </si>
  <si>
    <t>Microbial hitchhikers harbouring antimicrobial-resistance genes in the riverine plastisphere</t>
    <phoneticPr fontId="1" type="noConversion"/>
  </si>
  <si>
    <t>Honey bee genetics shape the strain-level structure of gut microbiota in social transmission</t>
    <phoneticPr fontId="1" type="noConversion"/>
  </si>
  <si>
    <t>Honeybee gut microbiome</t>
    <phoneticPr fontId="1" type="noConversion"/>
  </si>
  <si>
    <t>https://doi.org/10.1186/s40168-021-01174-y</t>
    <phoneticPr fontId="1" type="noConversion"/>
  </si>
  <si>
    <t>Fecal metagenome from dogs and their owner in families and dogs in kennles.</t>
    <phoneticPr fontId="1" type="noConversion"/>
  </si>
  <si>
    <t>iMeta</t>
    <phoneticPr fontId="1" type="noConversion"/>
  </si>
  <si>
    <t>https://doi.org/10.1002/imt2.21</t>
    <phoneticPr fontId="1" type="noConversion"/>
  </si>
  <si>
    <t>Metagenomics reveals the temporal dynamics of the rumen resistome and microbiome in goat kids</t>
    <phoneticPr fontId="1" type="noConversion"/>
  </si>
  <si>
    <t>Rumen content metagenome of goat kids</t>
  </si>
  <si>
    <t>https://doi.org/10.1186/s40168-023-01733-5</t>
    <phoneticPr fontId="1" type="noConversion"/>
  </si>
  <si>
    <t>Comprehensive lung microbial gene and genome catalogs assist the mechanism survey of Mesomycoplasma hyopneumoniae strains causing pig lung lesions</t>
    <phoneticPr fontId="1" type="noConversion"/>
  </si>
  <si>
    <t>Porcine lower respiratory tract metagenome</t>
    <phoneticPr fontId="1" type="noConversion"/>
  </si>
  <si>
    <t>https://doi.org/10.1002/imt2.258</t>
    <phoneticPr fontId="1" type="noConversion"/>
  </si>
  <si>
    <t>Duck gut metagenome reveals the microbiome signatures linked to intestinal regional, temporal development,and rearing condition</t>
    <phoneticPr fontId="1" type="noConversion"/>
  </si>
  <si>
    <t>The co‐occurrence of antibiotic resistance genes between dogs and their owners in families</t>
    <phoneticPr fontId="1" type="noConversion"/>
  </si>
  <si>
    <t>Duck Gut Metagenome Reveals the Microbiome Signatures Linked to Intestinal Regional, Temporal Development, and Rearing Condition</t>
    <phoneticPr fontId="1" type="noConversion"/>
  </si>
  <si>
    <t>https://doi.org/10.1002/imt2.198</t>
    <phoneticPr fontId="1" type="noConversion"/>
  </si>
  <si>
    <t>Assembly of 913 microbial genomes from metagenomic sequencing of the cow rumen</t>
    <phoneticPr fontId="1" type="noConversion"/>
  </si>
  <si>
    <t>Metagenomic sequencing of the rumen of Scottish cattle</t>
    <phoneticPr fontId="1" type="noConversion"/>
  </si>
  <si>
    <t>https://doi.org/10.1038/s41467-018-03317-6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</si>
</sst>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Times New Roman"/>
      <family val="1"/>
    </font>
    <font>
      <b/>
      <sz val="16"/>
      <color theme="1"/>
      <name val="Times New Roman Bold"/>
    </font>
    <font>
      <b/>
      <sz val="16"/>
      <color theme="1"/>
      <name val="Times New Roman"/>
      <family val="1"/>
    </font>
    <font>
      <sz val="12"/>
      <color theme="4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sz val="12"/>
      <name val="Times New Roman"/>
      <family val="1"/>
    </font>
    <font>
      <sz val="12"/>
      <name val="等线"/>
      <family val="2"/>
      <charset val="134"/>
      <scheme val="minor"/>
    </font>
    <font>
      <b/>
      <sz val="16"/>
      <name val="Times New Roman"/>
      <family val="1"/>
    </font>
    <font>
      <u/>
      <sz val="12"/>
      <color theme="10"/>
      <name val="等线"/>
      <family val="2"/>
      <charset val="134"/>
      <scheme val="minor"/>
    </font>
    <font>
      <sz val="12"/>
      <color rgb="FFFF0000"/>
      <name val="Times New Roman"/>
      <family val="1"/>
    </font>
    <font>
      <sz val="12"/>
      <color theme="1"/>
      <name val="等线"/>
      <family val="4"/>
      <charset val="134"/>
      <scheme val="minor"/>
    </font>
    <font>
      <u/>
      <sz val="12"/>
      <color theme="1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0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10" fillId="0" borderId="0" xfId="1" applyFill="1">
      <alignment vertical="center"/>
    </xf>
    <xf numFmtId="0" fontId="11" fillId="0" borderId="0" xfId="0" applyFont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0" fillId="0" borderId="0" xfId="1">
      <alignment vertical="center"/>
    </xf>
    <xf numFmtId="0" fontId="12" fillId="0" borderId="0" xfId="0" applyFont="1">
      <alignment vertical="center"/>
    </xf>
    <xf numFmtId="0" fontId="13" fillId="0" borderId="0" xfId="1" applyFont="1" applyFill="1">
      <alignment vertical="center"/>
    </xf>
    <xf numFmtId="0" fontId="0" fillId="2" borderId="0" xfId="0" applyFill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2" fillId="2" borderId="1" xfId="0" applyFont="1" applyFill="1" applyBorder="1">
      <alignment vertical="center"/>
    </xf>
    <xf numFmtId="0" fontId="0" fillId="2" borderId="1" xfId="0" applyFill="1" applyBorder="1">
      <alignment vertical="center"/>
    </xf>
    <xf numFmtId="0" fontId="2" fillId="0" borderId="1" xfId="0" applyFont="1" applyBorder="1">
      <alignment vertical="center"/>
    </xf>
    <xf numFmtId="0" fontId="0" fillId="0" borderId="1" xfId="0" applyBorder="1">
      <alignment vertical="center"/>
    </xf>
    <xf numFmtId="0" fontId="2" fillId="0" borderId="1" xfId="0" applyFont="1" applyBorder="1" applyAlignment="1">
      <alignment vertical="center" wrapText="1"/>
    </xf>
    <xf numFmtId="0" fontId="10" fillId="0" borderId="1" xfId="1" applyFill="1" applyBorder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38/s41396-021-01026-5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186/s40168-023-01733-5" TargetMode="External"/><Relationship Id="rId2" Type="http://schemas.openxmlformats.org/officeDocument/2006/relationships/hyperlink" Target="https://doi.org/10.1002/imt2.21" TargetMode="External"/><Relationship Id="rId1" Type="http://schemas.openxmlformats.org/officeDocument/2006/relationships/hyperlink" Target="https://doi.org/10.1186/s40168-021-01174-y" TargetMode="External"/><Relationship Id="rId6" Type="http://schemas.openxmlformats.org/officeDocument/2006/relationships/hyperlink" Target="https://doi.org/10.1038/s41467-018-03317-6" TargetMode="External"/><Relationship Id="rId5" Type="http://schemas.openxmlformats.org/officeDocument/2006/relationships/hyperlink" Target="https://doi.org/10.1002/imt2.198" TargetMode="External"/><Relationship Id="rId4" Type="http://schemas.openxmlformats.org/officeDocument/2006/relationships/hyperlink" Target="https://doi.org/10.1002/imt2.258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186/s40168-023-01733-5" TargetMode="External"/><Relationship Id="rId2" Type="http://schemas.openxmlformats.org/officeDocument/2006/relationships/hyperlink" Target="https://doi.org/10.1002/imt2.21" TargetMode="External"/><Relationship Id="rId1" Type="http://schemas.openxmlformats.org/officeDocument/2006/relationships/hyperlink" Target="https://doi.org/10.1186/s40168-021-01174-y" TargetMode="External"/><Relationship Id="rId6" Type="http://schemas.openxmlformats.org/officeDocument/2006/relationships/hyperlink" Target="https://doi.org/10.1038/s41467-018-03317-6" TargetMode="External"/><Relationship Id="rId5" Type="http://schemas.openxmlformats.org/officeDocument/2006/relationships/hyperlink" Target="https://doi.org/10.1002/imt2.198" TargetMode="External"/><Relationship Id="rId4" Type="http://schemas.openxmlformats.org/officeDocument/2006/relationships/hyperlink" Target="https://doi.org/10.1002/imt2.25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DD302-DC5D-D74B-816E-00D3136B789F}">
  <sheetPr>
    <pageSetUpPr fitToPage="1"/>
  </sheetPr>
  <dimension ref="A1:J34"/>
  <sheetViews>
    <sheetView tabSelected="1" zoomScale="75" zoomScaleNormal="85" workbookViewId="0">
      <pane xSplit="1" topLeftCell="B1" activePane="topRight" state="frozen"/>
      <selection pane="topRight" activeCell="F31" sqref="F31"/>
    </sheetView>
  </sheetViews>
  <sheetFormatPr baseColWidth="10" defaultRowHeight="16"/>
  <cols>
    <col min="1" max="1" width="6.33203125" customWidth="1"/>
    <col min="2" max="2" width="7.83203125" customWidth="1"/>
    <col min="3" max="3" width="102.6640625" customWidth="1"/>
    <col min="4" max="4" width="83.33203125" customWidth="1"/>
    <col min="5" max="6" width="35.33203125" style="2" customWidth="1"/>
    <col min="7" max="7" width="35.33203125" style="13" customWidth="1"/>
    <col min="8" max="8" width="28" customWidth="1"/>
    <col min="9" max="9" width="48.33203125" style="1" customWidth="1"/>
  </cols>
  <sheetData>
    <row r="1" spans="1:9" s="2" customFormat="1" ht="20">
      <c r="A1" s="3" t="s">
        <v>0</v>
      </c>
      <c r="B1" s="3" t="s">
        <v>3</v>
      </c>
      <c r="C1" s="3" t="s">
        <v>1</v>
      </c>
      <c r="D1" s="3" t="s">
        <v>158</v>
      </c>
      <c r="E1" s="3" t="s">
        <v>167</v>
      </c>
      <c r="F1" s="3" t="s">
        <v>227</v>
      </c>
      <c r="G1" s="3" t="s">
        <v>157</v>
      </c>
      <c r="H1" s="3" t="s">
        <v>2</v>
      </c>
      <c r="I1" s="3" t="s">
        <v>22</v>
      </c>
    </row>
    <row r="2" spans="1:9">
      <c r="A2" s="4">
        <v>1</v>
      </c>
      <c r="B2" s="4">
        <v>2023</v>
      </c>
      <c r="C2" s="4" t="s">
        <v>20</v>
      </c>
      <c r="D2" s="4" t="s">
        <v>224</v>
      </c>
      <c r="E2" s="17">
        <v>180</v>
      </c>
      <c r="F2" s="5">
        <v>5899</v>
      </c>
      <c r="G2" s="5">
        <v>5899</v>
      </c>
      <c r="H2" s="4" t="s">
        <v>7</v>
      </c>
      <c r="I2" s="4" t="s">
        <v>23</v>
      </c>
    </row>
    <row r="3" spans="1:9">
      <c r="A3" s="4">
        <v>2</v>
      </c>
      <c r="B3" s="4">
        <v>2023</v>
      </c>
      <c r="C3" s="4" t="s">
        <v>21</v>
      </c>
      <c r="D3" s="4" t="s">
        <v>159</v>
      </c>
      <c r="E3" s="5">
        <v>52</v>
      </c>
      <c r="F3" s="5">
        <v>2124</v>
      </c>
      <c r="G3" s="5">
        <v>1172</v>
      </c>
      <c r="H3" s="4" t="s">
        <v>8</v>
      </c>
      <c r="I3" s="4" t="s">
        <v>24</v>
      </c>
    </row>
    <row r="4" spans="1:9" ht="17">
      <c r="A4" s="4">
        <v>3</v>
      </c>
      <c r="B4" s="4">
        <v>2023</v>
      </c>
      <c r="C4" s="6" t="s">
        <v>26</v>
      </c>
      <c r="D4" s="4" t="s">
        <v>160</v>
      </c>
      <c r="E4" s="5">
        <v>40</v>
      </c>
      <c r="F4" s="5">
        <v>492</v>
      </c>
      <c r="G4" s="5">
        <v>150</v>
      </c>
      <c r="H4" s="4" t="s">
        <v>8</v>
      </c>
      <c r="I4" s="4" t="s">
        <v>25</v>
      </c>
    </row>
    <row r="5" spans="1:9" ht="30" customHeight="1">
      <c r="A5" s="4">
        <v>4</v>
      </c>
      <c r="B5" s="4">
        <v>2022</v>
      </c>
      <c r="C5" s="6" t="s">
        <v>29</v>
      </c>
      <c r="D5" s="4" t="s">
        <v>161</v>
      </c>
      <c r="E5" s="18">
        <v>6122</v>
      </c>
      <c r="F5" s="7">
        <v>32277</v>
      </c>
      <c r="G5" s="7">
        <v>25303</v>
      </c>
      <c r="H5" s="6" t="s">
        <v>27</v>
      </c>
      <c r="I5" s="4" t="s">
        <v>28</v>
      </c>
    </row>
    <row r="6" spans="1:9">
      <c r="A6" s="4">
        <v>5</v>
      </c>
      <c r="B6" s="4">
        <v>2022</v>
      </c>
      <c r="C6" s="4" t="s">
        <v>97</v>
      </c>
      <c r="D6" s="4" t="s">
        <v>162</v>
      </c>
      <c r="E6" s="5">
        <v>132</v>
      </c>
      <c r="F6" s="5">
        <v>4888</v>
      </c>
      <c r="G6" s="5">
        <v>2549</v>
      </c>
      <c r="H6" s="4" t="s">
        <v>7</v>
      </c>
      <c r="I6" s="4" t="s">
        <v>99</v>
      </c>
    </row>
    <row r="7" spans="1:9">
      <c r="A7" s="4">
        <v>6</v>
      </c>
      <c r="B7" s="4">
        <v>2022</v>
      </c>
      <c r="C7" s="4" t="s">
        <v>98</v>
      </c>
      <c r="D7" s="4" t="s">
        <v>163</v>
      </c>
      <c r="E7" s="5">
        <v>47</v>
      </c>
      <c r="F7" s="5">
        <v>531</v>
      </c>
      <c r="G7" s="5">
        <v>385</v>
      </c>
      <c r="H7" s="4" t="s">
        <v>7</v>
      </c>
      <c r="I7" s="4" t="s">
        <v>100</v>
      </c>
    </row>
    <row r="8" spans="1:9" ht="17" customHeight="1">
      <c r="A8" s="4">
        <v>7</v>
      </c>
      <c r="B8" s="4">
        <v>2022</v>
      </c>
      <c r="C8" s="4" t="s">
        <v>30</v>
      </c>
      <c r="D8" s="4" t="s">
        <v>226</v>
      </c>
      <c r="E8" s="17">
        <v>514</v>
      </c>
      <c r="F8" s="5">
        <v>5403</v>
      </c>
      <c r="G8" s="5">
        <v>3220</v>
      </c>
      <c r="H8" s="4" t="s">
        <v>27</v>
      </c>
      <c r="I8" s="4" t="s">
        <v>31</v>
      </c>
    </row>
    <row r="9" spans="1:9">
      <c r="A9" s="4">
        <v>8</v>
      </c>
      <c r="B9" s="4">
        <v>2020</v>
      </c>
      <c r="C9" s="4" t="s">
        <v>101</v>
      </c>
      <c r="D9" s="4" t="s">
        <v>164</v>
      </c>
      <c r="E9" s="5">
        <v>79</v>
      </c>
      <c r="F9" s="5">
        <v>2806</v>
      </c>
      <c r="G9" s="5">
        <v>1410</v>
      </c>
      <c r="H9" s="4" t="s">
        <v>125</v>
      </c>
      <c r="I9" s="4" t="s">
        <v>102</v>
      </c>
    </row>
    <row r="10" spans="1:9">
      <c r="A10" s="4">
        <v>9</v>
      </c>
      <c r="B10" s="4">
        <v>2022</v>
      </c>
      <c r="C10" s="4" t="s">
        <v>131</v>
      </c>
      <c r="D10" s="4" t="s">
        <v>165</v>
      </c>
      <c r="E10" s="5">
        <v>71</v>
      </c>
      <c r="F10" s="5">
        <v>884</v>
      </c>
      <c r="G10" s="5">
        <v>509</v>
      </c>
      <c r="H10" s="4" t="s">
        <v>27</v>
      </c>
      <c r="I10" s="4" t="s">
        <v>132</v>
      </c>
    </row>
    <row r="11" spans="1:9">
      <c r="A11" s="4">
        <v>10</v>
      </c>
      <c r="B11" s="4">
        <v>2022</v>
      </c>
      <c r="C11" s="4" t="s">
        <v>123</v>
      </c>
      <c r="D11" s="4" t="s">
        <v>166</v>
      </c>
      <c r="E11" s="5">
        <v>169</v>
      </c>
      <c r="F11" s="5">
        <v>2742</v>
      </c>
      <c r="G11" s="5">
        <v>1002</v>
      </c>
      <c r="H11" s="4" t="s">
        <v>27</v>
      </c>
      <c r="I11" s="4" t="s">
        <v>124</v>
      </c>
    </row>
    <row r="12" spans="1:9" s="8" customFormat="1">
      <c r="A12" s="6">
        <v>11</v>
      </c>
      <c r="B12" s="6">
        <v>2021</v>
      </c>
      <c r="C12" s="4" t="s">
        <v>32</v>
      </c>
      <c r="D12" s="4" t="s">
        <v>168</v>
      </c>
      <c r="E12" s="5">
        <v>33</v>
      </c>
      <c r="F12" s="5">
        <v>1267</v>
      </c>
      <c r="G12" s="5">
        <v>422</v>
      </c>
      <c r="H12" s="4" t="s">
        <v>9</v>
      </c>
      <c r="I12" s="4" t="s">
        <v>33</v>
      </c>
    </row>
    <row r="13" spans="1:9">
      <c r="A13" s="4">
        <v>12</v>
      </c>
      <c r="B13" s="4">
        <v>2021</v>
      </c>
      <c r="C13" s="4" t="s">
        <v>34</v>
      </c>
      <c r="D13" s="4" t="s">
        <v>222</v>
      </c>
      <c r="E13" s="5">
        <v>200</v>
      </c>
      <c r="F13" s="5">
        <v>6234</v>
      </c>
      <c r="G13" s="5">
        <v>3182</v>
      </c>
      <c r="H13" s="4" t="s">
        <v>27</v>
      </c>
      <c r="I13" s="4" t="s">
        <v>35</v>
      </c>
    </row>
    <row r="14" spans="1:9" s="8" customFormat="1">
      <c r="A14" s="4">
        <v>13</v>
      </c>
      <c r="B14" s="4">
        <v>2023</v>
      </c>
      <c r="C14" s="4" t="s">
        <v>103</v>
      </c>
      <c r="D14" s="4" t="s">
        <v>225</v>
      </c>
      <c r="E14" s="5">
        <v>86</v>
      </c>
      <c r="F14" s="5">
        <v>4410</v>
      </c>
      <c r="G14" s="5">
        <v>2329</v>
      </c>
      <c r="H14" s="4" t="s">
        <v>27</v>
      </c>
      <c r="I14" s="4" t="s">
        <v>104</v>
      </c>
    </row>
    <row r="15" spans="1:9">
      <c r="A15" s="4">
        <v>17</v>
      </c>
      <c r="B15" s="4">
        <v>2018</v>
      </c>
      <c r="C15" s="4" t="s">
        <v>17</v>
      </c>
      <c r="D15" s="4" t="s">
        <v>219</v>
      </c>
      <c r="E15" s="5">
        <v>57</v>
      </c>
      <c r="F15" s="5">
        <v>1663</v>
      </c>
      <c r="G15" s="5">
        <v>919</v>
      </c>
      <c r="H15" s="4" t="s">
        <v>7</v>
      </c>
      <c r="I15" s="4" t="s">
        <v>36</v>
      </c>
    </row>
    <row r="16" spans="1:9" s="8" customFormat="1">
      <c r="A16" s="4">
        <v>18</v>
      </c>
      <c r="B16" s="4">
        <v>2023</v>
      </c>
      <c r="C16" s="4" t="s">
        <v>37</v>
      </c>
      <c r="D16" s="4" t="s">
        <v>220</v>
      </c>
      <c r="E16" s="5">
        <v>71</v>
      </c>
      <c r="F16" s="5">
        <v>3087</v>
      </c>
      <c r="G16" s="5">
        <v>1665</v>
      </c>
      <c r="H16" s="4" t="s">
        <v>38</v>
      </c>
      <c r="I16" s="4" t="s">
        <v>39</v>
      </c>
    </row>
    <row r="17" spans="1:10" s="8" customFormat="1">
      <c r="A17" s="4">
        <v>19</v>
      </c>
      <c r="B17" s="4">
        <v>2023</v>
      </c>
      <c r="C17" s="4" t="s">
        <v>106</v>
      </c>
      <c r="D17" s="4" t="s">
        <v>221</v>
      </c>
      <c r="E17" s="5">
        <v>45</v>
      </c>
      <c r="F17" s="5">
        <v>2000</v>
      </c>
      <c r="G17" s="5">
        <v>1038</v>
      </c>
      <c r="H17" s="4" t="s">
        <v>27</v>
      </c>
      <c r="I17" s="4" t="s">
        <v>107</v>
      </c>
    </row>
    <row r="18" spans="1:10" s="8" customFormat="1">
      <c r="A18" s="4">
        <v>21</v>
      </c>
      <c r="B18" s="4">
        <v>2023</v>
      </c>
      <c r="C18" s="4" t="s">
        <v>108</v>
      </c>
      <c r="D18" s="4" t="s">
        <v>218</v>
      </c>
      <c r="E18" s="5">
        <v>164</v>
      </c>
      <c r="F18" s="5">
        <v>4763</v>
      </c>
      <c r="G18" s="5">
        <v>2230</v>
      </c>
      <c r="H18" s="4" t="s">
        <v>127</v>
      </c>
      <c r="I18" s="4" t="s">
        <v>109</v>
      </c>
    </row>
    <row r="19" spans="1:10">
      <c r="A19" s="4">
        <v>22</v>
      </c>
      <c r="B19" s="4">
        <v>2015</v>
      </c>
      <c r="C19" s="4" t="s">
        <v>40</v>
      </c>
      <c r="D19" s="4" t="s">
        <v>223</v>
      </c>
      <c r="E19" s="5">
        <v>400</v>
      </c>
      <c r="F19" s="16">
        <v>6998</v>
      </c>
      <c r="G19" s="5">
        <v>3943</v>
      </c>
      <c r="H19" s="4" t="s">
        <v>16</v>
      </c>
      <c r="I19" s="4" t="s">
        <v>41</v>
      </c>
      <c r="J19" s="1"/>
    </row>
    <row r="20" spans="1:10" ht="17">
      <c r="A20" s="4">
        <v>23</v>
      </c>
      <c r="B20" s="4">
        <v>2022</v>
      </c>
      <c r="C20" s="6" t="s">
        <v>110</v>
      </c>
      <c r="D20" s="4" t="s">
        <v>216</v>
      </c>
      <c r="E20" s="5">
        <v>10</v>
      </c>
      <c r="F20" s="5">
        <v>382</v>
      </c>
      <c r="G20" s="5">
        <v>188</v>
      </c>
      <c r="H20" s="4" t="s">
        <v>125</v>
      </c>
      <c r="I20" s="4" t="s">
        <v>111</v>
      </c>
    </row>
    <row r="21" spans="1:10">
      <c r="A21" s="4">
        <v>24</v>
      </c>
      <c r="B21" s="4">
        <v>2016</v>
      </c>
      <c r="C21" s="4" t="s">
        <v>10</v>
      </c>
      <c r="D21" s="4" t="s">
        <v>217</v>
      </c>
      <c r="E21" s="5">
        <v>94</v>
      </c>
      <c r="F21" s="5">
        <v>213</v>
      </c>
      <c r="G21" s="5">
        <v>126</v>
      </c>
      <c r="H21" s="4" t="s">
        <v>7</v>
      </c>
      <c r="I21" s="4" t="s">
        <v>42</v>
      </c>
    </row>
    <row r="22" spans="1:10" s="8" customFormat="1">
      <c r="A22" s="4">
        <v>25</v>
      </c>
      <c r="B22" s="4">
        <v>2021</v>
      </c>
      <c r="C22" s="4" t="s">
        <v>95</v>
      </c>
      <c r="D22" s="4" t="s">
        <v>214</v>
      </c>
      <c r="E22" s="5">
        <v>31</v>
      </c>
      <c r="F22" s="5">
        <v>1511</v>
      </c>
      <c r="G22" s="5">
        <v>787</v>
      </c>
      <c r="H22" s="4" t="s">
        <v>76</v>
      </c>
      <c r="I22" s="4" t="s">
        <v>96</v>
      </c>
    </row>
    <row r="23" spans="1:10" s="8" customFormat="1">
      <c r="A23" s="4">
        <v>26</v>
      </c>
      <c r="B23" s="4">
        <v>2022</v>
      </c>
      <c r="C23" s="4" t="s">
        <v>15</v>
      </c>
      <c r="D23" s="4" t="s">
        <v>213</v>
      </c>
      <c r="E23" s="5">
        <v>384</v>
      </c>
      <c r="F23" s="5">
        <v>19395</v>
      </c>
      <c r="G23" s="5">
        <v>9936</v>
      </c>
      <c r="H23" s="4" t="s">
        <v>16</v>
      </c>
      <c r="I23" s="4" t="s">
        <v>45</v>
      </c>
    </row>
    <row r="24" spans="1:10">
      <c r="A24" s="4">
        <v>27</v>
      </c>
      <c r="B24" s="4">
        <v>2021</v>
      </c>
      <c r="C24" s="4" t="s">
        <v>12</v>
      </c>
      <c r="D24" s="4" t="s">
        <v>215</v>
      </c>
      <c r="E24" s="5">
        <v>662</v>
      </c>
      <c r="F24" s="5">
        <v>13471</v>
      </c>
      <c r="G24" s="5">
        <v>8274</v>
      </c>
      <c r="H24" s="4" t="s">
        <v>16</v>
      </c>
      <c r="I24" s="4" t="s">
        <v>44</v>
      </c>
    </row>
    <row r="25" spans="1:10">
      <c r="A25" s="4">
        <v>28</v>
      </c>
      <c r="B25" s="4">
        <v>2019</v>
      </c>
      <c r="C25" s="4" t="s">
        <v>11</v>
      </c>
      <c r="D25" s="4" t="s">
        <v>212</v>
      </c>
      <c r="E25" s="5">
        <v>140</v>
      </c>
      <c r="F25" s="5">
        <v>3511</v>
      </c>
      <c r="G25" s="5">
        <v>1646</v>
      </c>
      <c r="H25" s="4" t="s">
        <v>38</v>
      </c>
      <c r="I25" s="4" t="s">
        <v>43</v>
      </c>
    </row>
    <row r="26" spans="1:10">
      <c r="A26" s="4">
        <v>29</v>
      </c>
      <c r="B26" s="4">
        <v>2023</v>
      </c>
      <c r="C26" s="4" t="s">
        <v>154</v>
      </c>
      <c r="D26" s="4" t="s">
        <v>211</v>
      </c>
      <c r="E26" s="5">
        <v>45</v>
      </c>
      <c r="F26" s="5">
        <v>906</v>
      </c>
      <c r="G26" s="5">
        <v>465</v>
      </c>
      <c r="H26" s="4" t="s">
        <v>27</v>
      </c>
      <c r="I26" s="4" t="s">
        <v>155</v>
      </c>
    </row>
    <row r="27" spans="1:10">
      <c r="A27" s="4">
        <v>31</v>
      </c>
      <c r="B27" s="4">
        <v>2023</v>
      </c>
      <c r="C27" s="4" t="s">
        <v>46</v>
      </c>
      <c r="D27" s="4" t="s">
        <v>210</v>
      </c>
      <c r="E27" s="5">
        <v>43</v>
      </c>
      <c r="F27" s="5">
        <v>397</v>
      </c>
      <c r="G27" s="5">
        <v>226</v>
      </c>
      <c r="H27" s="4" t="s">
        <v>27</v>
      </c>
      <c r="I27" s="4" t="s">
        <v>47</v>
      </c>
    </row>
    <row r="28" spans="1:10">
      <c r="A28" s="4">
        <v>33</v>
      </c>
      <c r="B28" s="4">
        <v>2019</v>
      </c>
      <c r="C28" s="4" t="s">
        <v>129</v>
      </c>
      <c r="D28" s="4" t="s">
        <v>209</v>
      </c>
      <c r="E28" s="5">
        <v>429</v>
      </c>
      <c r="F28" s="5">
        <v>2391</v>
      </c>
      <c r="G28" s="9">
        <v>1375</v>
      </c>
      <c r="H28" s="4" t="s">
        <v>7</v>
      </c>
      <c r="I28" s="4" t="s">
        <v>130</v>
      </c>
    </row>
    <row r="29" spans="1:10">
      <c r="A29" s="4">
        <v>34</v>
      </c>
      <c r="B29" s="4">
        <v>2023</v>
      </c>
      <c r="C29" s="4" t="s">
        <v>126</v>
      </c>
      <c r="D29" s="4" t="s">
        <v>208</v>
      </c>
      <c r="E29" s="5">
        <v>30</v>
      </c>
      <c r="F29" s="5">
        <v>1471</v>
      </c>
      <c r="G29" s="5">
        <v>773</v>
      </c>
      <c r="H29" s="4" t="s">
        <v>8</v>
      </c>
      <c r="I29" s="4" t="s">
        <v>128</v>
      </c>
    </row>
    <row r="30" spans="1:10">
      <c r="A30" s="4">
        <v>38</v>
      </c>
      <c r="B30" s="4">
        <v>2022</v>
      </c>
      <c r="C30" s="4" t="s">
        <v>134</v>
      </c>
      <c r="D30" s="4" t="s">
        <v>207</v>
      </c>
      <c r="E30" s="17">
        <v>109</v>
      </c>
      <c r="F30" s="5">
        <v>2789</v>
      </c>
      <c r="G30" s="9">
        <v>810</v>
      </c>
      <c r="H30" s="4" t="s">
        <v>27</v>
      </c>
      <c r="I30" s="4" t="s">
        <v>135</v>
      </c>
    </row>
    <row r="31" spans="1:10">
      <c r="F31" s="2">
        <f>SUM(F2:F30)</f>
        <v>134905</v>
      </c>
      <c r="G31" s="2">
        <f>SUM(G2:G30)</f>
        <v>81933</v>
      </c>
    </row>
    <row r="34" spans="5:5">
      <c r="E34" s="2">
        <f>SUM(E2:E30)</f>
        <v>10439</v>
      </c>
    </row>
  </sheetData>
  <sortState xmlns:xlrd2="http://schemas.microsoft.com/office/spreadsheetml/2017/richdata2" ref="A2:I30">
    <sortCondition ref="A1:A30"/>
  </sortState>
  <phoneticPr fontId="1" type="noConversion"/>
  <pageMargins left="0.7" right="0.7" top="0.75" bottom="0.75" header="0.3" footer="0.3"/>
  <pageSetup paperSize="9" scale="32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B7D29-7FB7-B146-A4B0-1BCE31F80746}">
  <sheetPr>
    <pageSetUpPr fitToPage="1"/>
  </sheetPr>
  <dimension ref="A1:I32"/>
  <sheetViews>
    <sheetView zoomScale="83" zoomScaleNormal="75" workbookViewId="0">
      <selection activeCell="F2" sqref="F2"/>
    </sheetView>
  </sheetViews>
  <sheetFormatPr baseColWidth="10" defaultRowHeight="16"/>
  <cols>
    <col min="1" max="1" width="11.5" customWidth="1"/>
    <col min="2" max="2" width="10" customWidth="1"/>
    <col min="3" max="3" width="137.5" customWidth="1"/>
    <col min="4" max="4" width="36" hidden="1" customWidth="1"/>
    <col min="5" max="5" width="34.5" customWidth="1"/>
    <col min="6" max="6" width="41.6640625" customWidth="1"/>
    <col min="7" max="7" width="27.33203125" customWidth="1"/>
    <col min="8" max="8" width="21.6640625" customWidth="1"/>
    <col min="9" max="9" width="41.1640625" customWidth="1"/>
  </cols>
  <sheetData>
    <row r="1" spans="1:9" ht="20" customHeight="1">
      <c r="A1" s="24" t="s">
        <v>0</v>
      </c>
      <c r="B1" s="24" t="s">
        <v>3</v>
      </c>
      <c r="C1" s="24" t="s">
        <v>1</v>
      </c>
      <c r="D1" s="24" t="s">
        <v>158</v>
      </c>
      <c r="E1" s="25" t="s">
        <v>133</v>
      </c>
      <c r="F1" s="25" t="s">
        <v>227</v>
      </c>
      <c r="G1" s="25" t="s">
        <v>157</v>
      </c>
      <c r="H1" s="24" t="s">
        <v>2</v>
      </c>
      <c r="I1" s="24" t="s">
        <v>22</v>
      </c>
    </row>
    <row r="2" spans="1:9" s="23" customFormat="1" ht="20" customHeight="1">
      <c r="A2" s="26">
        <v>1</v>
      </c>
      <c r="B2" s="26">
        <v>2022</v>
      </c>
      <c r="C2" s="26" t="s">
        <v>48</v>
      </c>
      <c r="D2" s="27" t="s">
        <v>169</v>
      </c>
      <c r="E2" s="26">
        <v>85</v>
      </c>
      <c r="F2" s="26">
        <v>2358</v>
      </c>
      <c r="G2" s="26">
        <v>949</v>
      </c>
      <c r="H2" s="26" t="s">
        <v>4</v>
      </c>
      <c r="I2" s="26" t="s">
        <v>49</v>
      </c>
    </row>
    <row r="3" spans="1:9" ht="20" customHeight="1">
      <c r="A3" s="28">
        <v>2</v>
      </c>
      <c r="B3" s="28">
        <v>2022</v>
      </c>
      <c r="C3" s="28" t="s">
        <v>50</v>
      </c>
      <c r="D3" s="29" t="s">
        <v>170</v>
      </c>
      <c r="E3" s="28">
        <v>62</v>
      </c>
      <c r="F3" s="28">
        <v>1815</v>
      </c>
      <c r="G3" s="28">
        <v>264</v>
      </c>
      <c r="H3" s="28" t="s">
        <v>8</v>
      </c>
      <c r="I3" s="28" t="s">
        <v>51</v>
      </c>
    </row>
    <row r="4" spans="1:9" ht="20" customHeight="1">
      <c r="A4" s="28">
        <v>4</v>
      </c>
      <c r="B4" s="28">
        <v>2021</v>
      </c>
      <c r="C4" s="28" t="s">
        <v>18</v>
      </c>
      <c r="D4" s="29" t="s">
        <v>171</v>
      </c>
      <c r="E4" s="28">
        <v>294</v>
      </c>
      <c r="F4" s="28">
        <v>512</v>
      </c>
      <c r="G4" s="28">
        <v>76</v>
      </c>
      <c r="H4" s="28" t="s">
        <v>8</v>
      </c>
      <c r="I4" s="28" t="s">
        <v>52</v>
      </c>
    </row>
    <row r="5" spans="1:9" ht="20" customHeight="1">
      <c r="A5" s="28">
        <v>5</v>
      </c>
      <c r="B5" s="28">
        <v>2019</v>
      </c>
      <c r="C5" s="28" t="s">
        <v>70</v>
      </c>
      <c r="D5" s="29" t="s">
        <v>172</v>
      </c>
      <c r="E5" s="28">
        <v>9</v>
      </c>
      <c r="F5" s="28">
        <v>99</v>
      </c>
      <c r="G5" s="28">
        <v>28</v>
      </c>
      <c r="H5" s="28" t="s">
        <v>5</v>
      </c>
      <c r="I5" s="28" t="s">
        <v>71</v>
      </c>
    </row>
    <row r="6" spans="1:9" ht="20" customHeight="1">
      <c r="A6" s="28">
        <v>6</v>
      </c>
      <c r="B6" s="28">
        <v>2020</v>
      </c>
      <c r="C6" s="28" t="s">
        <v>72</v>
      </c>
      <c r="D6" s="28" t="s">
        <v>173</v>
      </c>
      <c r="E6" s="28">
        <v>17</v>
      </c>
      <c r="F6" s="28">
        <v>822</v>
      </c>
      <c r="G6" s="28">
        <v>320</v>
      </c>
      <c r="H6" s="28" t="s">
        <v>6</v>
      </c>
      <c r="I6" s="28" t="s">
        <v>73</v>
      </c>
    </row>
    <row r="7" spans="1:9" ht="20" customHeight="1">
      <c r="A7" s="28">
        <v>7</v>
      </c>
      <c r="B7" s="28">
        <v>2023</v>
      </c>
      <c r="C7" s="30" t="s">
        <v>74</v>
      </c>
      <c r="D7" s="30" t="s">
        <v>174</v>
      </c>
      <c r="E7" s="28">
        <v>34</v>
      </c>
      <c r="F7" s="28">
        <v>1741</v>
      </c>
      <c r="G7" s="28">
        <v>391</v>
      </c>
      <c r="H7" s="28" t="s">
        <v>76</v>
      </c>
      <c r="I7" s="28" t="s">
        <v>75</v>
      </c>
    </row>
    <row r="8" spans="1:9" ht="20" customHeight="1">
      <c r="A8" s="28">
        <v>8</v>
      </c>
      <c r="B8" s="28">
        <v>2019</v>
      </c>
      <c r="C8" s="28" t="s">
        <v>53</v>
      </c>
      <c r="D8" s="28" t="s">
        <v>175</v>
      </c>
      <c r="E8" s="28">
        <v>250</v>
      </c>
      <c r="F8" s="28">
        <v>6130</v>
      </c>
      <c r="G8" s="28">
        <v>1369</v>
      </c>
      <c r="H8" s="28" t="s">
        <v>6</v>
      </c>
      <c r="I8" s="28" t="s">
        <v>54</v>
      </c>
    </row>
    <row r="9" spans="1:9" ht="20" customHeight="1">
      <c r="A9" s="28">
        <v>9</v>
      </c>
      <c r="B9" s="28">
        <v>2023</v>
      </c>
      <c r="C9" s="30" t="s">
        <v>77</v>
      </c>
      <c r="D9" s="30" t="s">
        <v>176</v>
      </c>
      <c r="E9" s="28">
        <v>170</v>
      </c>
      <c r="F9" s="28">
        <v>2585</v>
      </c>
      <c r="G9" s="28">
        <v>409</v>
      </c>
      <c r="H9" s="28" t="s">
        <v>76</v>
      </c>
      <c r="I9" s="28" t="s">
        <v>78</v>
      </c>
    </row>
    <row r="10" spans="1:9" ht="20" customHeight="1">
      <c r="A10" s="28">
        <v>10</v>
      </c>
      <c r="B10" s="28">
        <v>2022</v>
      </c>
      <c r="C10" s="28" t="s">
        <v>14</v>
      </c>
      <c r="D10" s="28" t="s">
        <v>177</v>
      </c>
      <c r="E10" s="28">
        <v>22</v>
      </c>
      <c r="F10" s="28">
        <v>332</v>
      </c>
      <c r="G10" s="28">
        <v>51</v>
      </c>
      <c r="H10" s="28" t="s">
        <v>6</v>
      </c>
      <c r="I10" s="28" t="s">
        <v>55</v>
      </c>
    </row>
    <row r="11" spans="1:9" ht="20" customHeight="1">
      <c r="A11" s="28">
        <v>11</v>
      </c>
      <c r="B11" s="28">
        <v>2023</v>
      </c>
      <c r="C11" s="28" t="s">
        <v>79</v>
      </c>
      <c r="D11" s="28" t="s">
        <v>178</v>
      </c>
      <c r="E11" s="28">
        <v>170</v>
      </c>
      <c r="F11" s="28">
        <v>933</v>
      </c>
      <c r="G11" s="28">
        <v>145</v>
      </c>
      <c r="H11" s="28" t="s">
        <v>76</v>
      </c>
      <c r="I11" s="28" t="s">
        <v>80</v>
      </c>
    </row>
    <row r="12" spans="1:9" ht="20" customHeight="1">
      <c r="A12" s="28">
        <v>12</v>
      </c>
      <c r="B12" s="28">
        <v>2021</v>
      </c>
      <c r="C12" s="28" t="s">
        <v>56</v>
      </c>
      <c r="D12" s="28" t="s">
        <v>197</v>
      </c>
      <c r="E12" s="28">
        <v>19</v>
      </c>
      <c r="F12" s="28">
        <v>487</v>
      </c>
      <c r="G12" s="28">
        <v>147</v>
      </c>
      <c r="H12" s="28" t="s">
        <v>8</v>
      </c>
      <c r="I12" s="28" t="s">
        <v>57</v>
      </c>
    </row>
    <row r="13" spans="1:9" ht="20" customHeight="1">
      <c r="A13" s="28">
        <v>13</v>
      </c>
      <c r="B13" s="28">
        <v>2023</v>
      </c>
      <c r="C13" s="30" t="s">
        <v>83</v>
      </c>
      <c r="D13" s="30" t="s">
        <v>196</v>
      </c>
      <c r="E13" s="28">
        <v>22</v>
      </c>
      <c r="F13" s="28">
        <v>520</v>
      </c>
      <c r="G13" s="28">
        <v>114</v>
      </c>
      <c r="H13" s="28" t="s">
        <v>76</v>
      </c>
      <c r="I13" s="28" t="s">
        <v>84</v>
      </c>
    </row>
    <row r="14" spans="1:9" s="14" customFormat="1" ht="20" customHeight="1">
      <c r="A14" s="28">
        <v>14</v>
      </c>
      <c r="B14" s="28">
        <v>2023</v>
      </c>
      <c r="C14" s="30" t="s">
        <v>136</v>
      </c>
      <c r="D14" s="30" t="s">
        <v>184</v>
      </c>
      <c r="E14" s="28">
        <v>93</v>
      </c>
      <c r="F14" s="28">
        <v>353</v>
      </c>
      <c r="G14" s="28">
        <v>90</v>
      </c>
      <c r="H14" s="28" t="s">
        <v>76</v>
      </c>
      <c r="I14" s="28" t="s">
        <v>137</v>
      </c>
    </row>
    <row r="15" spans="1:9" ht="20" customHeight="1">
      <c r="A15" s="28">
        <v>15</v>
      </c>
      <c r="B15" s="28">
        <v>2019</v>
      </c>
      <c r="C15" s="28" t="s">
        <v>58</v>
      </c>
      <c r="D15" s="28" t="s">
        <v>179</v>
      </c>
      <c r="E15" s="28">
        <v>5</v>
      </c>
      <c r="F15" s="28">
        <v>7</v>
      </c>
      <c r="G15" s="28">
        <v>1</v>
      </c>
      <c r="H15" s="28" t="s">
        <v>7</v>
      </c>
      <c r="I15" s="28" t="s">
        <v>59</v>
      </c>
    </row>
    <row r="16" spans="1:9" ht="20" customHeight="1">
      <c r="A16" s="28">
        <v>16</v>
      </c>
      <c r="B16" s="28">
        <v>2017</v>
      </c>
      <c r="C16" s="28" t="s">
        <v>60</v>
      </c>
      <c r="D16" s="28" t="s">
        <v>180</v>
      </c>
      <c r="E16" s="28">
        <v>107</v>
      </c>
      <c r="F16" s="28">
        <v>1228</v>
      </c>
      <c r="G16" s="28">
        <v>86</v>
      </c>
      <c r="H16" s="28" t="s">
        <v>7</v>
      </c>
      <c r="I16" s="28" t="s">
        <v>61</v>
      </c>
    </row>
    <row r="17" spans="1:9" ht="20" customHeight="1">
      <c r="A17" s="28">
        <v>18</v>
      </c>
      <c r="B17" s="28">
        <v>2021</v>
      </c>
      <c r="C17" s="28" t="s">
        <v>81</v>
      </c>
      <c r="D17" s="28" t="s">
        <v>181</v>
      </c>
      <c r="E17" s="28">
        <v>11</v>
      </c>
      <c r="F17" s="28">
        <v>166</v>
      </c>
      <c r="G17" s="28">
        <v>92</v>
      </c>
      <c r="H17" s="28" t="s">
        <v>76</v>
      </c>
      <c r="I17" s="31" t="s">
        <v>82</v>
      </c>
    </row>
    <row r="18" spans="1:9" ht="20" customHeight="1">
      <c r="A18" s="28">
        <v>19</v>
      </c>
      <c r="B18" s="28">
        <v>2021</v>
      </c>
      <c r="C18" s="28" t="s">
        <v>85</v>
      </c>
      <c r="D18" s="28" t="s">
        <v>182</v>
      </c>
      <c r="E18" s="28">
        <v>39</v>
      </c>
      <c r="F18" s="28">
        <v>62</v>
      </c>
      <c r="G18" s="28">
        <v>50</v>
      </c>
      <c r="H18" s="28" t="s">
        <v>76</v>
      </c>
      <c r="I18" s="28" t="s">
        <v>86</v>
      </c>
    </row>
    <row r="19" spans="1:9" ht="20" customHeight="1">
      <c r="A19" s="28">
        <v>20</v>
      </c>
      <c r="B19" s="28">
        <v>2021</v>
      </c>
      <c r="C19" s="28" t="s">
        <v>87</v>
      </c>
      <c r="D19" s="28" t="s">
        <v>183</v>
      </c>
      <c r="E19" s="28">
        <v>8</v>
      </c>
      <c r="F19" s="28">
        <v>105</v>
      </c>
      <c r="G19" s="28">
        <v>27</v>
      </c>
      <c r="H19" s="28" t="s">
        <v>76</v>
      </c>
      <c r="I19" s="28" t="s">
        <v>88</v>
      </c>
    </row>
    <row r="20" spans="1:9" ht="20" customHeight="1">
      <c r="A20" s="28">
        <v>22</v>
      </c>
      <c r="B20" s="28">
        <v>2020</v>
      </c>
      <c r="C20" s="28" t="s">
        <v>89</v>
      </c>
      <c r="D20" s="28" t="s">
        <v>184</v>
      </c>
      <c r="E20" s="28">
        <v>12</v>
      </c>
      <c r="F20" s="28">
        <v>29</v>
      </c>
      <c r="G20" s="28">
        <v>2</v>
      </c>
      <c r="H20" s="28" t="s">
        <v>76</v>
      </c>
      <c r="I20" s="28" t="s">
        <v>90</v>
      </c>
    </row>
    <row r="21" spans="1:9" ht="20" customHeight="1">
      <c r="A21" s="28">
        <v>23</v>
      </c>
      <c r="B21" s="28">
        <v>2021</v>
      </c>
      <c r="C21" s="28" t="s">
        <v>19</v>
      </c>
      <c r="D21" s="28" t="s">
        <v>185</v>
      </c>
      <c r="E21" s="28">
        <v>69</v>
      </c>
      <c r="F21" s="28">
        <v>1575</v>
      </c>
      <c r="G21" s="28">
        <v>282</v>
      </c>
      <c r="H21" s="28" t="s">
        <v>6</v>
      </c>
      <c r="I21" s="28" t="s">
        <v>62</v>
      </c>
    </row>
    <row r="22" spans="1:9" ht="20" customHeight="1">
      <c r="A22" s="28">
        <v>25</v>
      </c>
      <c r="B22" s="28">
        <v>2023</v>
      </c>
      <c r="C22" s="28" t="s">
        <v>122</v>
      </c>
      <c r="D22" s="28" t="s">
        <v>186</v>
      </c>
      <c r="E22" s="28">
        <v>15</v>
      </c>
      <c r="F22" s="28">
        <v>1142</v>
      </c>
      <c r="G22" s="28">
        <v>497</v>
      </c>
      <c r="H22" s="28" t="s">
        <v>6</v>
      </c>
      <c r="I22" s="28" t="s">
        <v>138</v>
      </c>
    </row>
    <row r="23" spans="1:9" ht="20" customHeight="1">
      <c r="A23" s="28">
        <v>27</v>
      </c>
      <c r="B23" s="28">
        <v>2019</v>
      </c>
      <c r="C23" s="28" t="s">
        <v>13</v>
      </c>
      <c r="D23" s="28" t="s">
        <v>187</v>
      </c>
      <c r="E23" s="28">
        <v>11</v>
      </c>
      <c r="F23" s="28">
        <v>631</v>
      </c>
      <c r="G23" s="28">
        <v>178</v>
      </c>
      <c r="H23" s="28" t="s">
        <v>8</v>
      </c>
      <c r="I23" s="28" t="s">
        <v>63</v>
      </c>
    </row>
    <row r="24" spans="1:9" ht="20" customHeight="1">
      <c r="A24" s="28">
        <v>29</v>
      </c>
      <c r="B24" s="28">
        <v>2019</v>
      </c>
      <c r="C24" s="28" t="s">
        <v>139</v>
      </c>
      <c r="D24" s="28" t="s">
        <v>188</v>
      </c>
      <c r="E24" s="28">
        <v>12</v>
      </c>
      <c r="F24" s="28">
        <v>2</v>
      </c>
      <c r="G24" s="28">
        <v>0</v>
      </c>
      <c r="H24" s="28" t="s">
        <v>8</v>
      </c>
      <c r="I24" s="29" t="s">
        <v>156</v>
      </c>
    </row>
    <row r="25" spans="1:9" ht="20" customHeight="1">
      <c r="A25" s="28">
        <v>30</v>
      </c>
      <c r="B25" s="28">
        <v>2023</v>
      </c>
      <c r="C25" s="30" t="s">
        <v>94</v>
      </c>
      <c r="D25" s="30" t="s">
        <v>189</v>
      </c>
      <c r="E25" s="28">
        <v>50</v>
      </c>
      <c r="F25" s="28">
        <v>606</v>
      </c>
      <c r="G25" s="28">
        <v>60</v>
      </c>
      <c r="H25" s="28" t="s">
        <v>76</v>
      </c>
      <c r="I25" s="28" t="s">
        <v>93</v>
      </c>
    </row>
    <row r="26" spans="1:9" ht="20" customHeight="1">
      <c r="A26" s="28">
        <v>33</v>
      </c>
      <c r="B26" s="28">
        <v>2023</v>
      </c>
      <c r="C26" s="28" t="s">
        <v>91</v>
      </c>
      <c r="D26" s="28" t="s">
        <v>190</v>
      </c>
      <c r="E26" s="28">
        <v>10</v>
      </c>
      <c r="F26" s="28">
        <v>181</v>
      </c>
      <c r="G26" s="28">
        <v>111</v>
      </c>
      <c r="H26" s="28" t="s">
        <v>8</v>
      </c>
      <c r="I26" s="28" t="s">
        <v>92</v>
      </c>
    </row>
    <row r="27" spans="1:9" ht="20" customHeight="1">
      <c r="A27" s="28">
        <v>35</v>
      </c>
      <c r="B27" s="28">
        <v>2023</v>
      </c>
      <c r="C27" s="28" t="s">
        <v>64</v>
      </c>
      <c r="D27" s="28" t="s">
        <v>191</v>
      </c>
      <c r="E27" s="28">
        <v>25</v>
      </c>
      <c r="F27" s="28">
        <v>1356</v>
      </c>
      <c r="G27" s="28">
        <v>439</v>
      </c>
      <c r="H27" s="28" t="s">
        <v>6</v>
      </c>
      <c r="I27" s="28" t="s">
        <v>65</v>
      </c>
    </row>
    <row r="28" spans="1:9" ht="20" customHeight="1">
      <c r="A28" s="28">
        <v>36</v>
      </c>
      <c r="B28" s="28">
        <v>2023</v>
      </c>
      <c r="C28" s="28" t="s">
        <v>66</v>
      </c>
      <c r="D28" s="28" t="s">
        <v>192</v>
      </c>
      <c r="E28" s="28">
        <v>27</v>
      </c>
      <c r="F28" s="28">
        <v>322</v>
      </c>
      <c r="G28" s="28">
        <v>190</v>
      </c>
      <c r="H28" s="28" t="s">
        <v>6</v>
      </c>
      <c r="I28" s="28" t="s">
        <v>67</v>
      </c>
    </row>
    <row r="29" spans="1:9" s="14" customFormat="1" ht="20" customHeight="1">
      <c r="A29" s="28">
        <v>37</v>
      </c>
      <c r="B29" s="28">
        <v>2023</v>
      </c>
      <c r="C29" s="28" t="s">
        <v>68</v>
      </c>
      <c r="D29" s="28" t="s">
        <v>193</v>
      </c>
      <c r="E29" s="28">
        <v>30</v>
      </c>
      <c r="F29" s="28">
        <v>418</v>
      </c>
      <c r="G29" s="28">
        <v>33</v>
      </c>
      <c r="H29" s="28" t="s">
        <v>6</v>
      </c>
      <c r="I29" s="28" t="s">
        <v>69</v>
      </c>
    </row>
    <row r="30" spans="1:9">
      <c r="A30" s="28">
        <v>39</v>
      </c>
      <c r="B30" s="28">
        <v>2023</v>
      </c>
      <c r="C30" s="29" t="s">
        <v>228</v>
      </c>
      <c r="D30" s="28" t="s">
        <v>194</v>
      </c>
      <c r="E30" s="29">
        <v>12</v>
      </c>
      <c r="F30" s="28">
        <v>132</v>
      </c>
      <c r="G30" s="29">
        <v>10</v>
      </c>
      <c r="H30" s="28" t="s">
        <v>8</v>
      </c>
      <c r="I30" s="28" t="s">
        <v>153</v>
      </c>
    </row>
    <row r="31" spans="1:9">
      <c r="A31" s="28">
        <v>40</v>
      </c>
      <c r="B31" s="28">
        <v>2023</v>
      </c>
      <c r="C31" s="28" t="s">
        <v>140</v>
      </c>
      <c r="D31" s="28" t="s">
        <v>195</v>
      </c>
      <c r="E31" s="29">
        <v>13</v>
      </c>
      <c r="F31" s="28">
        <v>209</v>
      </c>
      <c r="G31" s="29">
        <v>28</v>
      </c>
      <c r="H31" s="28" t="s">
        <v>6</v>
      </c>
      <c r="I31" s="28" t="s">
        <v>141</v>
      </c>
    </row>
    <row r="32" spans="1:9">
      <c r="A32" s="29"/>
      <c r="B32" s="29"/>
      <c r="C32" s="29"/>
      <c r="D32" s="29"/>
      <c r="E32" s="29">
        <f>SUM(E2:E31)</f>
        <v>1703</v>
      </c>
      <c r="F32" s="29">
        <f>SUM(F2:F31)</f>
        <v>26858</v>
      </c>
      <c r="G32" s="29">
        <f>SUM(G2:G31)</f>
        <v>6439</v>
      </c>
      <c r="H32" s="29"/>
      <c r="I32" s="29"/>
    </row>
  </sheetData>
  <sortState xmlns:xlrd2="http://schemas.microsoft.com/office/spreadsheetml/2017/richdata2" ref="A2:I31">
    <sortCondition ref="A1:A31"/>
  </sortState>
  <phoneticPr fontId="1" type="noConversion"/>
  <hyperlinks>
    <hyperlink ref="I17" r:id="rId1" xr:uid="{82789EC8-DC3A-7345-AF8A-F0CDECD261EC}"/>
  </hyperlinks>
  <pageMargins left="0.25" right="0.25" top="0.75" bottom="0.75" header="0.3" footer="0.3"/>
  <pageSetup paperSize="9" scale="47" orientation="landscape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1C36C-8DEF-6C40-96C1-A6182BD8F194}">
  <sheetPr>
    <pageSetUpPr fitToPage="1"/>
  </sheetPr>
  <dimension ref="A1:J17"/>
  <sheetViews>
    <sheetView zoomScale="84" zoomScaleNormal="80" workbookViewId="0">
      <selection activeCell="G29" sqref="G29"/>
    </sheetView>
  </sheetViews>
  <sheetFormatPr baseColWidth="10" defaultRowHeight="16"/>
  <cols>
    <col min="1" max="1" width="7" customWidth="1"/>
    <col min="2" max="2" width="6.83203125" customWidth="1"/>
    <col min="3" max="3" width="150.5" customWidth="1"/>
    <col min="4" max="4" width="30.83203125" hidden="1" customWidth="1"/>
    <col min="5" max="5" width="37" customWidth="1"/>
    <col min="6" max="6" width="38" customWidth="1"/>
    <col min="7" max="7" width="31.1640625" customWidth="1"/>
    <col min="8" max="8" width="30.1640625" customWidth="1"/>
    <col min="9" max="9" width="41.83203125" style="1" customWidth="1"/>
  </cols>
  <sheetData>
    <row r="1" spans="1:10" s="2" customFormat="1" ht="20">
      <c r="A1" s="12" t="s">
        <v>0</v>
      </c>
      <c r="B1" s="12" t="s">
        <v>3</v>
      </c>
      <c r="C1" s="12" t="s">
        <v>1</v>
      </c>
      <c r="D1" s="12" t="s">
        <v>158</v>
      </c>
      <c r="E1" s="10" t="s">
        <v>142</v>
      </c>
      <c r="F1" s="10" t="s">
        <v>227</v>
      </c>
      <c r="G1" s="10" t="s">
        <v>157</v>
      </c>
      <c r="H1" s="12" t="s">
        <v>2</v>
      </c>
      <c r="I1" s="12" t="s">
        <v>22</v>
      </c>
    </row>
    <row r="2" spans="1:10">
      <c r="A2" s="1">
        <v>1</v>
      </c>
      <c r="B2" s="1">
        <v>2023</v>
      </c>
      <c r="C2" s="1" t="s">
        <v>112</v>
      </c>
      <c r="D2" s="1" t="s">
        <v>198</v>
      </c>
      <c r="E2" s="1">
        <v>12</v>
      </c>
      <c r="F2" s="1">
        <v>613</v>
      </c>
      <c r="G2" s="1">
        <v>294</v>
      </c>
      <c r="H2" s="1" t="s">
        <v>6</v>
      </c>
      <c r="I2" s="1" t="s">
        <v>114</v>
      </c>
      <c r="J2" s="1"/>
    </row>
    <row r="3" spans="1:10" ht="17" customHeight="1">
      <c r="A3" s="1">
        <v>2</v>
      </c>
      <c r="B3" s="1">
        <v>2022</v>
      </c>
      <c r="C3" s="1" t="s">
        <v>113</v>
      </c>
      <c r="D3" s="1" t="s">
        <v>199</v>
      </c>
      <c r="E3" s="1">
        <v>12</v>
      </c>
      <c r="F3" s="1">
        <v>589</v>
      </c>
      <c r="G3" s="1">
        <v>333</v>
      </c>
      <c r="H3" s="1" t="s">
        <v>105</v>
      </c>
      <c r="I3" s="1" t="s">
        <v>115</v>
      </c>
      <c r="J3" s="1"/>
    </row>
    <row r="4" spans="1:10">
      <c r="A4" s="1">
        <v>3</v>
      </c>
      <c r="B4" s="1">
        <v>2023</v>
      </c>
      <c r="C4" s="1" t="s">
        <v>116</v>
      </c>
      <c r="D4" s="1" t="s">
        <v>200</v>
      </c>
      <c r="E4" s="1">
        <v>9</v>
      </c>
      <c r="F4" s="1">
        <v>60</v>
      </c>
      <c r="G4" s="1">
        <v>15</v>
      </c>
      <c r="H4" s="1" t="s">
        <v>6</v>
      </c>
      <c r="I4" s="1" t="s">
        <v>117</v>
      </c>
      <c r="J4" s="1"/>
    </row>
    <row r="5" spans="1:10" ht="18" customHeight="1">
      <c r="A5" s="1">
        <v>4</v>
      </c>
      <c r="B5" s="1">
        <v>2023</v>
      </c>
      <c r="C5" s="11" t="s">
        <v>143</v>
      </c>
      <c r="D5" s="11" t="s">
        <v>201</v>
      </c>
      <c r="E5" s="1">
        <v>22</v>
      </c>
      <c r="F5" s="1">
        <v>1175</v>
      </c>
      <c r="G5" s="1">
        <v>639</v>
      </c>
      <c r="H5" s="1" t="s">
        <v>144</v>
      </c>
      <c r="I5" s="1" t="s">
        <v>145</v>
      </c>
      <c r="J5" s="1"/>
    </row>
    <row r="6" spans="1:10">
      <c r="A6" s="1">
        <v>5</v>
      </c>
      <c r="B6" s="1">
        <v>2023</v>
      </c>
      <c r="C6" s="1" t="s">
        <v>118</v>
      </c>
      <c r="D6" s="1" t="s">
        <v>202</v>
      </c>
      <c r="E6" s="1">
        <v>48</v>
      </c>
      <c r="F6" s="1">
        <v>439</v>
      </c>
      <c r="G6" s="1">
        <v>272</v>
      </c>
      <c r="H6" s="1" t="s">
        <v>6</v>
      </c>
      <c r="I6" s="1" t="s">
        <v>119</v>
      </c>
      <c r="J6" s="1"/>
    </row>
    <row r="7" spans="1:10">
      <c r="A7" s="1">
        <v>6</v>
      </c>
      <c r="B7" s="1">
        <v>2023</v>
      </c>
      <c r="C7" s="1" t="s">
        <v>120</v>
      </c>
      <c r="D7" s="1" t="s">
        <v>203</v>
      </c>
      <c r="E7" s="1">
        <v>47</v>
      </c>
      <c r="F7" s="1">
        <v>1770</v>
      </c>
      <c r="G7" s="1">
        <v>940</v>
      </c>
      <c r="H7" s="1" t="s">
        <v>5</v>
      </c>
      <c r="I7" s="1" t="s">
        <v>121</v>
      </c>
      <c r="J7" s="1"/>
    </row>
    <row r="8" spans="1:10">
      <c r="A8" s="1">
        <v>14</v>
      </c>
      <c r="B8" s="1">
        <v>2019</v>
      </c>
      <c r="C8" s="1" t="s">
        <v>146</v>
      </c>
      <c r="D8" s="1" t="s">
        <v>204</v>
      </c>
      <c r="E8" s="1">
        <v>38</v>
      </c>
      <c r="F8" s="1">
        <v>370</v>
      </c>
      <c r="G8" s="1">
        <v>138</v>
      </c>
      <c r="H8" s="1" t="s">
        <v>6</v>
      </c>
      <c r="I8" s="1" t="s">
        <v>149</v>
      </c>
      <c r="J8" s="1"/>
    </row>
    <row r="9" spans="1:10">
      <c r="A9" s="1">
        <v>16</v>
      </c>
      <c r="B9" s="1">
        <v>2023</v>
      </c>
      <c r="C9" s="1" t="s">
        <v>147</v>
      </c>
      <c r="D9" s="1" t="s">
        <v>205</v>
      </c>
      <c r="E9" s="1">
        <v>6</v>
      </c>
      <c r="F9" s="1">
        <v>287</v>
      </c>
      <c r="G9" s="1">
        <v>132</v>
      </c>
      <c r="H9" s="1" t="s">
        <v>150</v>
      </c>
      <c r="I9" s="1" t="s">
        <v>151</v>
      </c>
      <c r="J9" s="1"/>
    </row>
    <row r="10" spans="1:10">
      <c r="A10" s="1">
        <v>17</v>
      </c>
      <c r="B10" s="1">
        <v>2022</v>
      </c>
      <c r="C10" s="1" t="s">
        <v>148</v>
      </c>
      <c r="D10" s="1" t="s">
        <v>206</v>
      </c>
      <c r="E10" s="1">
        <v>15</v>
      </c>
      <c r="F10" s="1">
        <v>883</v>
      </c>
      <c r="G10" s="1">
        <v>420</v>
      </c>
      <c r="H10" s="1" t="s">
        <v>6</v>
      </c>
      <c r="I10" s="1" t="s">
        <v>152</v>
      </c>
      <c r="J10" s="1"/>
    </row>
    <row r="11" spans="1:10" ht="17">
      <c r="A11" s="23">
        <v>6</v>
      </c>
      <c r="B11">
        <v>2021</v>
      </c>
      <c r="C11" s="19" t="s">
        <v>229</v>
      </c>
      <c r="D11" t="s">
        <v>230</v>
      </c>
      <c r="E11">
        <v>125</v>
      </c>
      <c r="F11">
        <v>1050</v>
      </c>
      <c r="G11">
        <v>406</v>
      </c>
      <c r="H11" t="s">
        <v>8</v>
      </c>
      <c r="I11" s="20" t="s">
        <v>231</v>
      </c>
    </row>
    <row r="12" spans="1:10" ht="17">
      <c r="A12" s="23">
        <v>5</v>
      </c>
      <c r="B12">
        <v>2022</v>
      </c>
      <c r="C12" s="19" t="s">
        <v>242</v>
      </c>
      <c r="D12" t="s">
        <v>232</v>
      </c>
      <c r="E12">
        <v>35</v>
      </c>
      <c r="F12">
        <v>1135</v>
      </c>
      <c r="G12">
        <v>618</v>
      </c>
      <c r="H12" t="s">
        <v>233</v>
      </c>
      <c r="I12" s="20" t="s">
        <v>234</v>
      </c>
    </row>
    <row r="13" spans="1:10" ht="17">
      <c r="A13" s="23">
        <v>4</v>
      </c>
      <c r="B13">
        <v>2024</v>
      </c>
      <c r="C13" s="19" t="s">
        <v>235</v>
      </c>
      <c r="D13" t="s">
        <v>236</v>
      </c>
      <c r="E13">
        <v>43</v>
      </c>
      <c r="F13">
        <v>2644</v>
      </c>
      <c r="G13">
        <v>995</v>
      </c>
      <c r="H13" t="s">
        <v>8</v>
      </c>
      <c r="I13" s="15" t="s">
        <v>237</v>
      </c>
    </row>
    <row r="14" spans="1:10" ht="17">
      <c r="A14" s="23">
        <v>3</v>
      </c>
      <c r="B14">
        <v>2018</v>
      </c>
      <c r="C14" s="19" t="s">
        <v>245</v>
      </c>
      <c r="D14" t="s">
        <v>246</v>
      </c>
      <c r="E14">
        <v>43</v>
      </c>
      <c r="F14">
        <v>2753</v>
      </c>
      <c r="G14">
        <v>822</v>
      </c>
      <c r="H14" t="s">
        <v>6</v>
      </c>
      <c r="I14" s="20" t="s">
        <v>247</v>
      </c>
    </row>
    <row r="15" spans="1:10" ht="17">
      <c r="A15" s="23">
        <v>2</v>
      </c>
      <c r="B15">
        <v>2024</v>
      </c>
      <c r="C15" s="19" t="s">
        <v>238</v>
      </c>
      <c r="D15" t="s">
        <v>239</v>
      </c>
      <c r="E15">
        <v>745</v>
      </c>
      <c r="F15">
        <v>1702</v>
      </c>
      <c r="G15">
        <v>813</v>
      </c>
      <c r="H15" t="s">
        <v>233</v>
      </c>
      <c r="I15" s="20" t="s">
        <v>240</v>
      </c>
    </row>
    <row r="16" spans="1:10" ht="17">
      <c r="A16" s="23">
        <v>1</v>
      </c>
      <c r="B16">
        <v>2024</v>
      </c>
      <c r="C16" s="19" t="s">
        <v>241</v>
      </c>
      <c r="D16" t="s">
        <v>243</v>
      </c>
      <c r="E16">
        <v>360</v>
      </c>
      <c r="F16">
        <v>12843</v>
      </c>
      <c r="G16" s="21">
        <v>4463</v>
      </c>
      <c r="H16" t="s">
        <v>233</v>
      </c>
      <c r="I16" s="22" t="s">
        <v>244</v>
      </c>
    </row>
    <row r="17" spans="5:7">
      <c r="E17">
        <f>SUM(E2:E16)</f>
        <v>1560</v>
      </c>
      <c r="F17">
        <f t="shared" ref="F17:G17" si="0">SUM(F2:F16)</f>
        <v>28313</v>
      </c>
      <c r="G17">
        <f t="shared" si="0"/>
        <v>11300</v>
      </c>
    </row>
  </sheetData>
  <sortState xmlns:xlrd2="http://schemas.microsoft.com/office/spreadsheetml/2017/richdata2" ref="A2:I10">
    <sortCondition ref="A1:A10"/>
  </sortState>
  <phoneticPr fontId="1" type="noConversion"/>
  <hyperlinks>
    <hyperlink ref="I11" r:id="rId1" xr:uid="{4B06E659-864E-DB44-9146-3A183EC5ACB9}"/>
    <hyperlink ref="I12" r:id="rId2" xr:uid="{7C8CC9A7-A483-A64A-83A4-E3149D3BC11B}"/>
    <hyperlink ref="I13" r:id="rId3" xr:uid="{72FDAB1C-CDA8-FA4B-AA6A-573D37C52DF3}"/>
    <hyperlink ref="I15" r:id="rId4" xr:uid="{5B22B5D6-AE83-094F-8E29-BB84C57FCDC2}"/>
    <hyperlink ref="I16" r:id="rId5" xr:uid="{7DB7782E-22EB-AE47-AC97-A80BB7BADD98}"/>
    <hyperlink ref="I14" r:id="rId6" xr:uid="{00BD92EE-3C72-AE44-85D9-E61576E9DA15}"/>
  </hyperlinks>
  <pageMargins left="0.25" right="0.25" top="0.75" bottom="0.75" header="0.3" footer="0.3"/>
  <pageSetup paperSize="9" scale="46" orientation="landscape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41342-826F-4A4F-90F0-FFC04748A875}">
  <dimension ref="A1:I10"/>
  <sheetViews>
    <sheetView topLeftCell="C1" zoomScale="85" workbookViewId="0">
      <selection activeCell="F10" sqref="F10"/>
    </sheetView>
  </sheetViews>
  <sheetFormatPr baseColWidth="10" defaultRowHeight="16"/>
  <cols>
    <col min="1" max="1" width="16" customWidth="1"/>
    <col min="2" max="2" width="19.33203125" customWidth="1"/>
    <col min="3" max="3" width="148.1640625" customWidth="1"/>
    <col min="4" max="4" width="116.6640625" customWidth="1"/>
    <col min="5" max="5" width="40.1640625" customWidth="1"/>
    <col min="6" max="6" width="33.33203125" customWidth="1"/>
    <col min="7" max="7" width="24.83203125" customWidth="1"/>
    <col min="8" max="8" width="21.1640625" customWidth="1"/>
    <col min="9" max="9" width="41.33203125" customWidth="1"/>
  </cols>
  <sheetData>
    <row r="1" spans="1:9" ht="20">
      <c r="A1" s="12" t="s">
        <v>0</v>
      </c>
      <c r="B1" s="12" t="s">
        <v>3</v>
      </c>
      <c r="C1" s="12" t="s">
        <v>1</v>
      </c>
      <c r="D1" s="12" t="s">
        <v>158</v>
      </c>
      <c r="E1" s="10" t="s">
        <v>142</v>
      </c>
      <c r="F1" s="10" t="s">
        <v>227</v>
      </c>
      <c r="G1" s="10" t="s">
        <v>157</v>
      </c>
      <c r="H1" s="12" t="s">
        <v>2</v>
      </c>
      <c r="I1" s="12" t="s">
        <v>22</v>
      </c>
    </row>
    <row r="2" spans="1:9" ht="17">
      <c r="A2">
        <v>1</v>
      </c>
      <c r="B2">
        <v>2024</v>
      </c>
      <c r="C2" s="19" t="s">
        <v>241</v>
      </c>
      <c r="D2" t="s">
        <v>243</v>
      </c>
      <c r="E2">
        <v>360</v>
      </c>
      <c r="F2">
        <v>12843</v>
      </c>
      <c r="G2" s="21">
        <v>4463</v>
      </c>
      <c r="H2" t="s">
        <v>233</v>
      </c>
      <c r="I2" s="22" t="s">
        <v>244</v>
      </c>
    </row>
    <row r="3" spans="1:9" ht="17">
      <c r="A3">
        <v>2</v>
      </c>
      <c r="B3">
        <v>2024</v>
      </c>
      <c r="C3" s="19" t="s">
        <v>238</v>
      </c>
      <c r="D3" t="s">
        <v>239</v>
      </c>
      <c r="E3">
        <v>745</v>
      </c>
      <c r="F3">
        <v>1702</v>
      </c>
      <c r="G3">
        <v>813</v>
      </c>
      <c r="H3" t="s">
        <v>233</v>
      </c>
      <c r="I3" s="20" t="s">
        <v>240</v>
      </c>
    </row>
    <row r="4" spans="1:9" ht="17">
      <c r="A4">
        <v>3</v>
      </c>
      <c r="B4">
        <v>2018</v>
      </c>
      <c r="C4" s="19" t="s">
        <v>245</v>
      </c>
      <c r="D4" t="s">
        <v>246</v>
      </c>
      <c r="E4">
        <v>43</v>
      </c>
      <c r="F4">
        <v>2753</v>
      </c>
      <c r="G4">
        <v>822</v>
      </c>
      <c r="H4" t="s">
        <v>6</v>
      </c>
      <c r="I4" s="20" t="s">
        <v>247</v>
      </c>
    </row>
    <row r="5" spans="1:9" ht="17">
      <c r="A5">
        <v>4</v>
      </c>
      <c r="B5">
        <v>2024</v>
      </c>
      <c r="C5" s="19" t="s">
        <v>235</v>
      </c>
      <c r="D5" t="s">
        <v>236</v>
      </c>
      <c r="E5">
        <v>43</v>
      </c>
      <c r="F5">
        <v>2644</v>
      </c>
      <c r="G5">
        <v>995</v>
      </c>
      <c r="H5" t="s">
        <v>8</v>
      </c>
      <c r="I5" s="15" t="s">
        <v>237</v>
      </c>
    </row>
    <row r="6" spans="1:9" ht="17">
      <c r="A6">
        <v>5</v>
      </c>
      <c r="B6">
        <v>2022</v>
      </c>
      <c r="C6" s="19" t="s">
        <v>242</v>
      </c>
      <c r="D6" t="s">
        <v>232</v>
      </c>
      <c r="E6">
        <v>35</v>
      </c>
      <c r="F6">
        <v>1135</v>
      </c>
      <c r="G6">
        <v>618</v>
      </c>
      <c r="H6" t="s">
        <v>233</v>
      </c>
      <c r="I6" s="20" t="s">
        <v>234</v>
      </c>
    </row>
    <row r="7" spans="1:9" ht="17">
      <c r="A7">
        <v>6</v>
      </c>
      <c r="B7">
        <v>2021</v>
      </c>
      <c r="C7" s="19" t="s">
        <v>229</v>
      </c>
      <c r="D7" t="s">
        <v>230</v>
      </c>
      <c r="E7">
        <v>125</v>
      </c>
      <c r="F7">
        <v>1050</v>
      </c>
      <c r="G7">
        <v>406</v>
      </c>
      <c r="H7" t="s">
        <v>8</v>
      </c>
      <c r="I7" s="20" t="s">
        <v>231</v>
      </c>
    </row>
    <row r="10" spans="1:9">
      <c r="E10">
        <f>SUM(E2:E7)</f>
        <v>1351</v>
      </c>
      <c r="F10">
        <f>SUM(F2:F7)</f>
        <v>22127</v>
      </c>
      <c r="G10">
        <f>SUM(G2:G7)</f>
        <v>8117</v>
      </c>
    </row>
  </sheetData>
  <sortState xmlns:xlrd2="http://schemas.microsoft.com/office/spreadsheetml/2017/richdata2" ref="A2:I7">
    <sortCondition ref="A1:A7"/>
  </sortState>
  <phoneticPr fontId="1" type="noConversion"/>
  <hyperlinks>
    <hyperlink ref="I7" r:id="rId1" xr:uid="{0339D768-F58E-0944-BB89-21ADC63F0792}"/>
    <hyperlink ref="I6" r:id="rId2" xr:uid="{945D3A4A-02AE-EB44-AEC2-78B252DA2E97}"/>
    <hyperlink ref="I5" r:id="rId3" xr:uid="{82F2C1BF-3C0B-C849-AAC3-A71B439F706B}"/>
    <hyperlink ref="I3" r:id="rId4" xr:uid="{FF278CE5-2F3F-D247-B1E2-EA8C48F496DA}"/>
    <hyperlink ref="I2" r:id="rId5" xr:uid="{D02FD4A7-98FF-C24F-B9D1-C2AD12F14BF7}"/>
    <hyperlink ref="I4" r:id="rId6" xr:uid="{0FA882F4-5DD3-844A-953A-2CBE7455E4F7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1_Human_Clinical_Application</vt:lpstr>
      <vt:lpstr>2_Geographic_Environment</vt:lpstr>
      <vt:lpstr>3_Animal</vt:lpstr>
      <vt:lpstr>3_Animal_add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2025-04-17T02:34:52Z</cp:lastPrinted>
  <dcterms:created xsi:type="dcterms:W3CDTF">2023-02-02T17:39:27Z</dcterms:created>
  <dcterms:modified xsi:type="dcterms:W3CDTF">2025-07-16T03:03:40Z</dcterms:modified>
</cp:coreProperties>
</file>